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b5fc8bc9e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多级BOM" sheetId="1" r:id="R40294fb55b3b43eb"/>
    <x:sheet xmlns:r="http://schemas.openxmlformats.org/officeDocument/2006/relationships" name="汇总" sheetId="2" r:id="R7dfd98dafead4afc"/>
    <x:sheet xmlns:r="http://schemas.openxmlformats.org/officeDocument/2006/relationships" name="说明" sheetId="3" r:id="R915d1b59808f43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b/>
      <x:sz val="10"/>
      <x:color rgb="FF0000FF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sz val="10"/>
      <x:color rgb="FFC00000"/>
      <x:name val="Arial"/>
    </x:font>
    <x:font>
      <x:b/>
      <x:sz val="10"/>
      <x:color rgb="FFC00000"/>
      <x:name val="Arial"/>
    </x:font>
    <x:font>
      <x:b/>
      <x:sz val="10"/>
      <x:name val="Arial"/>
    </x:font>
    <x:font>
      <x:i/>
      <x:sz val="9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EDEDED"/>
      </x:patternFill>
    </x:fill>
  </x:fills>
  <x:borders count="2">
    <x:border>
      <x:left/>
      <x:right/>
      <x:top/>
      <x:bottom/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horizontal="center" vertical="top"/>
    </x:xf>
    <x:xf numFmtId="0" fontId="2" fillId="3" borderId="1" xfId="0" applyAlignment="1">
      <x:alignment vertical="top" wrapText="1"/>
    </x:xf>
    <x:xf numFmtId="0" fontId="2" fillId="3" borderId="1" xfId="0" applyAlignment="1">
      <x:alignment horizontal="left" vertical="top" wrapText="1"/>
    </x:xf>
    <x:xf numFmtId="0" fontId="2" fillId="3" borderId="1" xfId="0" applyAlignment="1">
      <x:alignment horizontal="left" vertical="top"/>
    </x:xf>
    <x:xf numFmtId="1" fontId="3" fillId="3" borderId="1" xfId="0" applyAlignment="1">
      <x:alignment horizontal="center" vertical="top"/>
    </x:xf>
    <x:xf numFmtId="1" fontId="2" fillId="3" borderId="1" xfId="0" applyAlignment="1">
      <x:alignment horizontal="center" vertical="top"/>
    </x:xf>
    <x:xf numFmtId="0" fontId="2" fillId="4" borderId="1" xfId="0" applyAlignment="1">
      <x:alignment horizontal="center" vertical="top"/>
    </x:xf>
    <x:xf numFmtId="0" fontId="2" fillId="4" borderId="1" xfId="0" applyAlignment="1">
      <x:alignment vertical="top" wrapText="1"/>
    </x:xf>
    <x:xf numFmtId="0" fontId="2" fillId="4" borderId="1" xfId="0" applyAlignment="1">
      <x:alignment horizontal="left" vertical="top" wrapText="1"/>
    </x:xf>
    <x:xf numFmtId="0" fontId="2" fillId="4" borderId="1" xfId="0" applyAlignment="1">
      <x:alignment horizontal="left" vertical="top"/>
    </x:xf>
    <x:xf numFmtId="1" fontId="3" fillId="4" borderId="1" xfId="0" applyAlignment="1">
      <x:alignment horizontal="center" vertical="top"/>
    </x:xf>
    <x:xf numFmtId="1" fontId="2" fillId="4" borderId="1" xfId="0" applyAlignment="1">
      <x:alignment horizontal="center" vertical="top"/>
    </x:xf>
    <x:xf numFmtId="0" fontId="4" fillId="0" borderId="1" xfId="0" applyAlignment="1">
      <x:alignment horizontal="center" vertical="top"/>
    </x:xf>
    <x:xf numFmtId="0" fontId="4" fillId="0" borderId="1" xfId="0" applyAlignment="1">
      <x:alignment vertical="top" wrapText="1"/>
    </x:xf>
    <x:xf numFmtId="0" fontId="4" fillId="0" borderId="1" xfId="0" applyAlignment="1">
      <x:alignment horizontal="left" vertical="top" wrapText="1"/>
    </x:xf>
    <x:xf numFmtId="0" fontId="4" fillId="0" borderId="1" xfId="0" applyAlignment="1">
      <x:alignment horizontal="left" vertical="top"/>
    </x:xf>
    <x:xf numFmtId="1" fontId="5" fillId="0" borderId="1" xfId="0" applyAlignment="1">
      <x:alignment horizontal="center" vertical="top"/>
    </x:xf>
    <x:xf numFmtId="1" fontId="4" fillId="0" borderId="1" xfId="0" applyAlignment="1">
      <x:alignment horizontal="center" vertical="top"/>
    </x:xf>
    <x:xf numFmtId="0" fontId="6" fillId="0" borderId="1" xfId="0" applyAlignment="1">
      <x:alignment horizontal="center" vertical="top"/>
    </x:xf>
    <x:xf numFmtId="0" fontId="7" fillId="4" borderId="1" xfId="0" applyAlignment="1">
      <x:alignment horizontal="center" vertical="top"/>
    </x:xf>
    <x:xf numFmtId="0" fontId="8" fillId="0" borderId="0" xfId="0"/>
    <x:xf numFmtId="0" fontId="9" fillId="0" borderId="0" xfId="0"/>
    <x:xf numFmtId="0" fontId="1" fillId="2" borderId="1" xfId="0"/>
    <x:xf numFmtId="0" fontId="10" fillId="0" borderId="1" xfId="0"/>
    <x:xf numFmtId="0" fontId="8" fillId="0" borderId="1" xfId="0"/>
    <x:xf numFmtId="0" fontId="1" fillId="2" borderId="1" xfId="0" applyAlignment="1">
      <x:alignment vertical="top" wrapText="1"/>
    </x:xf>
    <x:xf numFmtId="0" fontId="8" fillId="0" borderId="1" xfId="0" applyAlignment="1">
      <x:alignment vertical="top" wrapText="1"/>
    </x:xf>
    <x:xf numFmtId="0" fontId="1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b15e1e3194d96" /><Relationship Type="http://schemas.openxmlformats.org/officeDocument/2006/relationships/theme" Target="/xl/theme/theme1.xml" Id="Racbc13f72697457f" /><Relationship Type="http://schemas.openxmlformats.org/officeDocument/2006/relationships/sharedStrings" Target="/xl/sharedStrings.xml" Id="R9fff6a91e8824cfc" /><Relationship Type="http://schemas.openxmlformats.org/officeDocument/2006/relationships/worksheet" Target="/xl/worksheets/sheet1.xml" Id="R40294fb55b3b43eb" /><Relationship Type="http://schemas.openxmlformats.org/officeDocument/2006/relationships/worksheet" Target="/xl/worksheets/sheet2.xml" Id="R7dfd98dafead4afc" /><Relationship Type="http://schemas.openxmlformats.org/officeDocument/2006/relationships/worksheet" Target="/xl/worksheets/sheet3.xml" Id="R915d1b59808f43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outlinePr summaryBelow="0" summaryRight="0"/>
  </ns0:sheetPr>
  <ns0:sheetViews>
    <ns0:sheetView workbookViewId="0">
      <ns0:pane xSplit="3" ySplit="1" topLeftCell="D2" activePane="bottomRight" state="frozen"/>
    </ns0:sheetView>
  </ns0:sheetViews>
  <ns0:sheetFormatPr baseColWidth="8" defaultRowHeight="15"/>
  <ns0:cols>
    <ns0:col min="1" max="1" width="6" customWidth="1"/>
    <ns0:col min="2" max="2" width="10" customWidth="1"/>
    <ns0:col min="3" max="3" width="34" customWidth="1"/>
    <ns0:col min="4" max="4" width="60" customWidth="1"/>
    <ns0:col min="5" max="5" width="22" customWidth="1"/>
    <ns0:col min="6" max="6" width="26" customWidth="1"/>
    <ns0:col min="7" max="7" width="26" customWidth="1"/>
    <ns0:col min="8" max="8" width="26" customWidth="1"/>
    <ns0:col min="9" max="9" width="16" customWidth="1"/>
    <ns0:col min="10" max="10" width="14" customWidth="1"/>
    <ns0:col min="11" max="11" width="6" customWidth="1"/>
    <ns0:col min="12" max="12" width="9" customWidth="1"/>
    <ns0:col min="13" max="13" width="9" customWidth="1"/>
    <ns0:col min="14" max="14" width="8" customWidth="1"/>
    <ns0:col min="15" max="15" width="70" customWidth="1"/>
  </ns0:cols>
  <ns0:sheetData>
    <ns0:row r="1" ht="30" customHeight="1">
      <ns0:c r="A1" s="1" t="inlineStr">
        <ns0:is>
          <ns0:t xml:space="preserve">层级</ns0:t>
        </ns0:is>
      </ns0:c>
      <ns0:c r="B1" s="1" t="inlineStr">
        <ns0:is>
          <ns0:t xml:space="preserve">物料编号</ns0:t>
        </ns0:is>
      </ns0:c>
      <ns0:c r="C1" s="1" t="inlineStr">
        <ns0:is>
          <ns0:t xml:space="preserve">物料名称</ns0:t>
        </ns0:is>
      </ns0:c>
      <ns0:c r="D1" s="1" t="inlineStr">
        <ns0:is>
          <ns0:t xml:space="preserve">规格 / 描述</ns0:t>
        </ns0:is>
      </ns0:c>
      <ns0:c r="E1" s="1" t="inlineStr">
        <ns0:is>
          <ns0:t xml:space="preserve">制造商</ns0:t>
        </ns0:is>
      </ns0:c>
      <ns0:c r="F1" s="1" t="inlineStr">
        <ns0:is>
          <ns0:t xml:space="preserve">制造商型号</ns0:t>
        </ns0:is>
      </ns0:c>
      <ns0:c r="G1" s="1" t="inlineStr">
        <ns0:is>
          <ns0:t xml:space="preserve">采购编号 / 文件</ns0:t>
        </ns0:is>
      </ns0:c>
      <ns0:c r="H1" s="1" t="inlineStr">
        <ns0:is>
          <ns0:t xml:space="preserve">位号 / 装配位置</ns0:t>
        </ns0:is>
      </ns0:c>
      <ns0:c r="I1" s="1" t="inlineStr">
        <ns0:is>
          <ns0:t xml:space="preserve">类别</ns0:t>
        </ns0:is>
      </ns0:c>
      <ns0:c r="J1" s="1" t="inlineStr">
        <ns0:is>
          <ns0:t xml:space="preserve">来源 / 工艺</ns0:t>
        </ns0:is>
      </ns0:c>
      <ns0:c r="K1" s="1" t="inlineStr">
        <ns0:is>
          <ns0:t xml:space="preserve">单位</ns0:t>
        </ns0:is>
      </ns0:c>
      <ns0:c r="L1" s="1" t="inlineStr">
        <ns0:is>
          <ns0:t xml:space="preserve">单级用量</ns0:t>
        </ns0:is>
      </ns0:c>
      <ns0:c r="M1" s="1" t="inlineStr">
        <ns0:is>
          <ns0:t xml:space="preserve">整机用量</ns0:t>
        </ns0:is>
      </ns0:c>
      <ns0:c r="N1" s="1" t="inlineStr">
        <ns0:is>
          <ns0:t xml:space="preserve">状态</ns0:t>
        </ns0:is>
      </ns0:c>
      <ns0:c r="O1" s="1" t="inlineStr">
        <ns0:is>
          <ns0:t xml:space="preserve">备注</ns0:t>
        </ns0:is>
      </ns0:c>
    </ns0:row>
    <ns0:row r="2">
      <ns0:c r="A2" s="2" t="n">
        <ns0:v>0</ns0:v>
      </ns0:c>
      <ns0:c r="B2" s="2" t="inlineStr">
        <ns0:is>
          <ns0:t xml:space="preserve">1</ns0:t>
        </ns0:is>
      </ns0:c>
      <ns0:c r="C2" s="3" t="inlineStr">
        <ns0:is>
          <ns0:t xml:space="preserve">Cohdl OpenWalkieTalkie 整机</ns0:t>
        </ns0:is>
      </ns0:c>
      <ns0:c r="D2" s="4" t="inlineStr">
        <ns0:is>
          <ns0:t xml:space="preserve">主板 Rev B（2026-10-06）+ 编码器板 r6 + BodyV6.13 外壳</ns0:t>
        </ns0:is>
      </ns0:c>
      <ns0:c r="E2" s="5" t="inlineStr">
        <ns0:is>
          <ns0:t xml:space="preserve">Cohdl</ns0:t>
        </ns0:is>
      </ns0:c>
      <ns0:c r="F2" s="5" t="inlineStr">
        <ns0:is>
          <ns0:t xml:space="preserve"/>
        </ns0:is>
      </ns0:c>
      <ns0:c r="G2" s="5" t="inlineStr">
        <ns0:is>
          <ns0:t xml:space="preserve"/>
        </ns0:is>
      </ns0:c>
      <ns0:c r="H2" s="4" t="inlineStr">
        <ns0:is>
          <ns0:t xml:space="preserve"/>
        </ns0:is>
      </ns0:c>
      <ns0:c r="I2" s="5" t="inlineStr">
        <ns0:is>
          <ns0:t xml:space="preserve">整机</ns0:t>
        </ns0:is>
      </ns0:c>
      <ns0:c r="J2" s="5" t="inlineStr">
        <ns0:is>
          <ns0:t xml:space="preserve">整机装配</ns0:t>
        </ns0:is>
      </ns0:c>
      <ns0:c r="K2" s="2" t="inlineStr">
        <ns0:is>
          <ns0:t xml:space="preserve">台</ns0:t>
        </ns0:is>
      </ns0:c>
      <ns0:c r="L2" s="6" t="n">
        <ns0:v>1</ns0:v>
      </ns0:c>
      <ns0:c r="M2" s="7" t="n">
        <ns0:f>L2</ns0:f>
        <ns0:v>1</ns0:v>
      </ns0:c>
      <ns0:c r="N2" s="2" t="inlineStr">
        <ns0:is>
          <ns0:t xml:space="preserve">已确定</ns0:t>
        </ns0:is>
      </ns0:c>
      <ns0:c r="O2" s="4" t="inlineStr">
        <ns0:is>
          <ns0:t xml:space="preserve">顶层。整机用量 = 上级整机用量 × 单级用量（公式）。</ns0:t>
        </ns0:is>
      </ns0:c>
    </ns0:row>
    <ns0:row r="3" outlineLevel="1">
      <ns0:c r="A3" s="8" t="n">
        <ns0:v>1</ns0:v>
      </ns0:c>
      <ns0:c r="B3" s="8" t="inlineStr">
        <ns0:is>
          <ns0:t xml:space="preserve">1.1</ns0:t>
        </ns0:is>
      </ns0:c>
      <ns0:c r="C3" s="9" t="inlineStr">
        <ns0:is>
          <ns0:t xml:space="preserve">主板组件（PCBA）Rev B</ns0:t>
        </ns0:is>
      </ns0:c>
      <ns0:c r="D3" s="10" t="inlineStr">
        <ns0:is>
          <ns0:t xml:space="preserve">4 层，53.43 × 92.43 mm，双面贴装 125 件 / 51 行</ns0:t>
        </ns0:is>
      </ns0:c>
      <ns0:c r="E3" s="11" t="inlineStr">
        <ns0:is>
          <ns0:t xml:space="preserve"/>
        </ns0:is>
      </ns0:c>
      <ns0:c r="F3" s="11" t="inlineStr">
        <ns0:is>
          <ns0:t xml:space="preserve">main-revb</ns0:t>
        </ns0:is>
      </ns0:c>
      <ns0:c r="G3" s="11" t="inlineStr">
        <ns0:is>
          <ns0:t xml:space="preserve">hardware/rev-b/fab-jlcpcb/</ns0:t>
        </ns0:is>
      </ns0:c>
      <ns0:c r="H3" s="10" t="inlineStr">
        <ns0:is>
          <ns0:t xml:space="preserve"/>
        </ns0:is>
      </ns0:c>
      <ns0:c r="I3" s="11" t="inlineStr">
        <ns0:is>
          <ns0:t xml:space="preserve">子装配</ns0:t>
        </ns0:is>
      </ns0:c>
      <ns0:c r="J3" s="11" t="inlineStr">
        <ns0:is>
          <ns0:t xml:space="preserve">JLCPCB 贴片</ns0:t>
        </ns0:is>
      </ns0:c>
      <ns0:c r="K3" s="8" t="inlineStr">
        <ns0:is>
          <ns0:t xml:space="preserve">块</ns0:t>
        </ns0:is>
      </ns0:c>
      <ns0:c r="L3" s="12" t="n">
        <ns0:v>1</ns0:v>
      </ns0:c>
      <ns0:c r="M3" s="13" t="n">
        <ns0:f>M2*L3</ns0:f>
        <ns0:v>1</ns0:v>
      </ns0:c>
      <ns0:c r="N3" s="8" t="inlineStr">
        <ns0:is>
          <ns0:t xml:space="preserve">已确定</ns0:t>
        </ns0:is>
      </ns0:c>
      <ns0:c r="O3" s="10" t="inlineStr">
        <ns0:is>
          <ns0:t xml:space="preserve">数据来源：hardware/rev-b/fab-jlcpcb/main-bom-jlcpcb.csv 及 ORDER-NOTES.md（2026-10-06 重建）。F 面（电池侧）60 件，B 面（显示侧）65 件。不贴装：C52/C53/C58/L6（RF 调谐 NF）、R44（10k 台架 NTC 替代）、TP1–TP10、MH2/MH4。</ns0:t>
        </ns0:is>
      </ns0:c>
    </ns0:row>
    <ns0:row r="4" outlineLevel="2">
      <ns0:c r="A4" s="14" t="n">
        <ns0:v>2</ns0:v>
      </ns0:c>
      <ns0:c r="B4" s="14" t="inlineStr">
        <ns0:is>
          <ns0:t xml:space="preserve">1.1.1</ns0:t>
        </ns0:is>
      </ns0:c>
      <ns0:c r="C4" s="15" t="inlineStr">
        <ns0:is>
          <ns0:t xml:space="preserve">主板 PCB 裸板 Rev B</ns0:t>
        </ns0:is>
      </ns0:c>
      <ns0:c r="D4" s="16" t="inlineStr">
        <ns0:is>
          <ns0:t xml:space="preserve">4 层 1.0 mm，叠层 JLC04101H-3313（3313 半固化片 0.0994 mm + 0.7 mm 芯板），ENIG，最小过孔 0.20/0.45 mm（477 个），最小线宽/间距 0.12/0.10 mm，过孔树脂塞孔+盖孔，去除订单号</ns0:t>
        </ns0:is>
      </ns0:c>
      <ns0:c r="E4" s="17" t="inlineStr">
        <ns0:is>
          <ns0:t xml:space="preserve">JLCPCB</ns0:t>
        </ns0:is>
      </ns0:c>
      <ns0:c r="F4" s="17" t="inlineStr">
        <ns0:is>
          <ns0:t xml:space="preserve">main-revb-jlcpcb-gerber.zip</ns0:t>
        </ns0:is>
      </ns0:c>
      <ns0:c r="G4" s="17" t="inlineStr">
        <ns0:is>
          <ns0:t xml:space="preserve">hardware/rev-b/fab-jlcpcb/main-revb-jlcpcb-gerber.zip</ns0:t>
        </ns0:is>
      </ns0:c>
      <ns0:c r="H4" s="16" t="inlineStr">
        <ns0:is>
          <ns0:t xml:space="preserve"/>
        </ns0:is>
      </ns0:c>
      <ns0:c r="I4" s="17" t="inlineStr">
        <ns0:is>
          <ns0:t xml:space="preserve">PCB</ns0:t>
        </ns0:is>
      </ns0:c>
      <ns0:c r="J4" s="17" t="inlineStr">
        <ns0:is>
          <ns0:t xml:space="preserve">JLCPCB 制板</ns0:t>
        </ns0:is>
      </ns0:c>
      <ns0:c r="K4" s="14" t="inlineStr">
        <ns0:is>
          <ns0:t xml:space="preserve">块</ns0:t>
        </ns0:is>
      </ns0:c>
      <ns0:c r="L4" s="18" t="n">
        <ns0:v>1</ns0:v>
      </ns0:c>
      <ns0:c r="M4" s="19" t="n">
        <ns0:f>M3*L4</ns0:f>
        <ns0:v>1</ns0:v>
      </ns0:c>
      <ns0:c r="N4" s="14" t="inlineStr">
        <ns0:is>
          <ns0:t xml:space="preserve">已确定</ns0:t>
        </ns0:is>
      </ns0:c>
      <ns0:c r="O4" s="16" t="inlineStr">
        <ns0:is>
          <ns0:t xml:space="preserve">厚度必须 1.0 mm（JLC 默认 1.6 mm 会改变外壳基准）。叠层不可替换：B 面 50 Ω 射频线按此叠层设计。48 个过孔位于 SMD 焊盘内，必须树脂塞孔+盖孔，麦克风声腔内 5 个过孔也需密封。</ns0:t>
        </ns0:is>
      </ns0:c>
    </ns0:row>
    <ns0:row r="5" outlineLevel="2">
      <ns0:c r="A5" s="14" t="n">
        <ns0:v>2</ns0:v>
      </ns0:c>
      <ns0:c r="B5" s="14" t="inlineStr">
        <ns0:is>
          <ns0:t xml:space="preserve">1.1.2</ns0:t>
        </ns0:is>
      </ns0:c>
      <ns0:c r="C5" s="15" t="inlineStr">
        <ns0:is>
          <ns0:t xml:space="preserve">2.4 GHz 陶瓷贴片天线</ns0:t>
        </ns0:is>
      </ns0:c>
      <ns0:c r="D5" s="16" t="inlineStr">
        <ns0:is>
          <ns0:t xml:space="preserve">2450AT18B100E，蓝牙 BLE 天线</ns0:t>
        </ns0:is>
      </ns0:c>
      <ns0:c r="E5" s="17" t="inlineStr">
        <ns0:is>
          <ns0:t xml:space="preserve">Johanson Technology</ns0:t>
        </ns0:is>
      </ns0:c>
      <ns0:c r="F5" s="17" t="inlineStr">
        <ns0:is>
          <ns0:t xml:space="preserve">2450AT18B100E</ns0:t>
        </ns0:is>
      </ns0:c>
      <ns0:c r="G5" s="17" t="inlineStr">
        <ns0:is>
          <ns0:t xml:space="preserve">C2917717</ns0:t>
        </ns0:is>
      </ns0:c>
      <ns0:c r="H5" s="16" t="inlineStr">
        <ns0:is>
          <ns0:t xml:space="preserve">AE1</ns0:t>
        </ns0:is>
      </ns0:c>
      <ns0:c r="I5" s="17" t="inlineStr">
        <ns0:is>
          <ns0:t xml:space="preserve">电子元件（SMT）</ns0:t>
        </ns0:is>
      </ns0:c>
      <ns0:c r="J5" s="17" t="inlineStr">
        <ns0:is>
          <ns0:t xml:space="preserve">JLCPCB 贴片</ns0:t>
        </ns0:is>
      </ns0:c>
      <ns0:c r="K5" s="14" t="inlineStr">
        <ns0:is>
          <ns0:t xml:space="preserve">个</ns0:t>
        </ns0:is>
      </ns0:c>
      <ns0:c r="L5" s="18" t="n">
        <ns0:v>1</ns0:v>
      </ns0:c>
      <ns0:c r="M5" s="19" t="n">
        <ns0:f>M3*L5</ns0:f>
        <ns0:v>1</ns0:v>
      </ns0:c>
      <ns0:c r="N5" s="20" t="inlineStr">
        <ns0:is>
          <ns0:t xml:space="preserve">待确认</ns0:t>
        </ns0:is>
      </ns0:c>
      <ns0:c r="O5" s="16" t="inlineStr">
        <ns0:is>
          <ns0:t xml:space="preserve">与设计型号一致。2026-09-23 LCSC 缺货，下单前核查 JLC 库存或全球采购。</ns0:t>
        </ns0:is>
      </ns0:c>
    </ns0:row>
    <ns0:row r="6" outlineLevel="2">
      <ns0:c r="A6" s="14" t="n">
        <ns0:v>2</ns0:v>
      </ns0:c>
      <ns0:c r="B6" s="14" t="inlineStr">
        <ns0:is>
          <ns0:t xml:space="preserve">1.1.3</ns0:t>
        </ns0:is>
      </ns0:c>
      <ns0:c r="C6" s="15" t="inlineStr">
        <ns0:is>
          <ns0:t xml:space="preserve">贴片电容 1uF 0603</ns0:t>
        </ns0:is>
      </ns0:c>
      <ns0:c r="D6" s="16" t="inlineStr">
        <ns0:is>
          <ns0:t xml:space="preserve">1uF，0603，50V X5R</ns0:t>
        </ns0:is>
      </ns0:c>
      <ns0:c r="E6" s="17" t="inlineStr">
        <ns0:is>
          <ns0:t xml:space="preserve">Samsung</ns0:t>
        </ns0:is>
      </ns0:c>
      <ns0:c r="F6" s="17" t="inlineStr">
        <ns0:is>
          <ns0:t xml:space="preserve">CL10A105KB8NNNC</ns0:t>
        </ns0:is>
      </ns0:c>
      <ns0:c r="G6" s="17" t="inlineStr">
        <ns0:is>
          <ns0:t xml:space="preserve">C15849</ns0:t>
        </ns0:is>
      </ns0:c>
      <ns0:c r="H6" s="16" t="inlineStr">
        <ns0:is>
          <ns0:t xml:space="preserve">C1, C3, C4, C5, C11, C21, C49</ns0:t>
        </ns0:is>
      </ns0:c>
      <ns0:c r="I6" s="17" t="inlineStr">
        <ns0:is>
          <ns0:t xml:space="preserve">电子元件（SMT）</ns0:t>
        </ns0:is>
      </ns0:c>
      <ns0:c r="J6" s="17" t="inlineStr">
        <ns0:is>
          <ns0:t xml:space="preserve">JLCPCB 贴片</ns0:t>
        </ns0:is>
      </ns0:c>
      <ns0:c r="K6" s="14" t="inlineStr">
        <ns0:is>
          <ns0:t xml:space="preserve">个</ns0:t>
        </ns0:is>
      </ns0:c>
      <ns0:c r="L6" s="18" t="n">
        <ns0:v>7</ns0:v>
      </ns0:c>
      <ns0:c r="M6" s="19" t="n">
        <ns0:f>M3*L6</ns0:f>
        <ns0:v>7</ns0:v>
      </ns0:c>
      <ns0:c r="N6" s="14" t="inlineStr">
        <ns0:is>
          <ns0:t xml:space="preserve">已确定</ns0:t>
        </ns0:is>
      </ns0:c>
      <ns0:c r="O6" s="16" t="inlineStr">
        <ns0:is>
          <ns0:t xml:space="preserve">设计型号 Yageo CC0603KRX5R6BB105。JLC 基础库替代 Samsung CL10A105KB8NNNC（50 V），容值/介质/封装相同，耐压更高。</ns0:t>
        </ns0:is>
      </ns0:c>
    </ns0:row>
    <ns0:row r="7" outlineLevel="2">
      <ns0:c r="A7" s="14" t="n">
        <ns0:v>2</ns0:v>
      </ns0:c>
      <ns0:c r="B7" s="14" t="inlineStr">
        <ns0:is>
          <ns0:t xml:space="preserve">1.1.4</ns0:t>
        </ns0:is>
      </ns0:c>
      <ns0:c r="C7" s="15" t="inlineStr">
        <ns0:is>
          <ns0:t xml:space="preserve">贴片电容 1.5nF 0603</ns0:t>
        </ns0:is>
      </ns0:c>
      <ns0:c r="D7" s="16" t="inlineStr">
        <ns0:is>
          <ns0:t xml:space="preserve">1.5nF，0603</ns0:t>
        </ns0:is>
      </ns0:c>
      <ns0:c r="E7" s="17" t="inlineStr">
        <ns0:is>
          <ns0:t xml:space="preserve">Yageo</ns0:t>
        </ns0:is>
      </ns0:c>
      <ns0:c r="F7" s="17" t="inlineStr">
        <ns0:is>
          <ns0:t xml:space="preserve">CC0603JRNPO9BN152</ns0:t>
        </ns0:is>
      </ns0:c>
      <ns0:c r="G7" s="17" t="inlineStr">
        <ns0:is>
          <ns0:t xml:space="preserve">C107039</ns0:t>
        </ns0:is>
      </ns0:c>
      <ns0:c r="H7" s="16" t="inlineStr">
        <ns0:is>
          <ns0:t xml:space="preserve">C2</ns0:t>
        </ns0:is>
      </ns0:c>
      <ns0:c r="I7" s="17" t="inlineStr">
        <ns0:is>
          <ns0:t xml:space="preserve">电子元件（SMT）</ns0:t>
        </ns0:is>
      </ns0:c>
      <ns0:c r="J7" s="17" t="inlineStr">
        <ns0:is>
          <ns0:t xml:space="preserve">JLCPCB 贴片</ns0:t>
        </ns0:is>
      </ns0:c>
      <ns0:c r="K7" s="14" t="inlineStr">
        <ns0:is>
          <ns0:t xml:space="preserve">个</ns0:t>
        </ns0:is>
      </ns0:c>
      <ns0:c r="L7" s="18" t="n">
        <ns0:v>1</ns0:v>
      </ns0:c>
      <ns0:c r="M7" s="19" t="n">
        <ns0:f>M3*L7</ns0:f>
        <ns0:v>1</ns0:v>
      </ns0:c>
      <ns0:c r="N7" s="14" t="inlineStr">
        <ns0:is>
          <ns0:t xml:space="preserve">已确定</ns0:t>
        </ns0:is>
      </ns0:c>
      <ns0:c r="O7" s="16" t="inlineStr">
        <ns0:is>
          <ns0:t xml:space="preserve">与设计型号一致。</ns0:t>
        </ns0:is>
      </ns0:c>
    </ns0:row>
    <ns0:row r="8" outlineLevel="2">
      <ns0:c r="A8" s="14" t="n">
        <ns0:v>2</ns0:v>
      </ns0:c>
      <ns0:c r="B8" s="14" t="inlineStr">
        <ns0:is>
          <ns0:t xml:space="preserve">1.1.5</ns0:t>
        </ns0:is>
      </ns0:c>
      <ns0:c r="C8" s="15" t="inlineStr">
        <ns0:is>
          <ns0:t xml:space="preserve">贴片电容 1nF 0402</ns0:t>
        </ns0:is>
      </ns0:c>
      <ns0:c r="D8" s="16" t="inlineStr">
        <ns0:is>
          <ns0:t xml:space="preserve">1nF，0402</ns0:t>
        </ns0:is>
      </ns0:c>
      <ns0:c r="E8" s="17" t="inlineStr">
        <ns0:is>
          <ns0:t xml:space="preserve">Yageo</ns0:t>
        </ns0:is>
      </ns0:c>
      <ns0:c r="F8" s="17" t="inlineStr">
        <ns0:is>
          <ns0:t xml:space="preserve">CC0402JRNPO9BN102</ns0:t>
        </ns0:is>
      </ns0:c>
      <ns0:c r="G8" s="17" t="inlineStr">
        <ns0:is>
          <ns0:t xml:space="preserve">C113780</ns0:t>
        </ns0:is>
      </ns0:c>
      <ns0:c r="H8" s="16" t="inlineStr">
        <ns0:is>
          <ns0:t xml:space="preserve">C6, C32, C33, C34, C35, C36, C37, C38, C39, C50</ns0:t>
        </ns0:is>
      </ns0:c>
      <ns0:c r="I8" s="17" t="inlineStr">
        <ns0:is>
          <ns0:t xml:space="preserve">电子元件（SMT）</ns0:t>
        </ns0:is>
      </ns0:c>
      <ns0:c r="J8" s="17" t="inlineStr">
        <ns0:is>
          <ns0:t xml:space="preserve">JLCPCB 贴片</ns0:t>
        </ns0:is>
      </ns0:c>
      <ns0:c r="K8" s="14" t="inlineStr">
        <ns0:is>
          <ns0:t xml:space="preserve">个</ns0:t>
        </ns0:is>
      </ns0:c>
      <ns0:c r="L8" s="18" t="n">
        <ns0:v>10</ns0:v>
      </ns0:c>
      <ns0:c r="M8" s="19" t="n">
        <ns0:f>M3*L8</ns0:f>
        <ns0:v>10</ns0:v>
      </ns0:c>
      <ns0:c r="N8" s="14" t="inlineStr">
        <ns0:is>
          <ns0:t xml:space="preserve">已确定</ns0:t>
        </ns0:is>
      </ns0:c>
      <ns0:c r="O8" s="16" t="inlineStr">
        <ns0:is>
          <ns0:t xml:space="preserve">与设计型号一致。</ns0:t>
        </ns0:is>
      </ns0:c>
    </ns0:row>
    <ns0:row r="9" outlineLevel="2">
      <ns0:c r="A9" s="14" t="n">
        <ns0:v>2</ns0:v>
      </ns0:c>
      <ns0:c r="B9" s="14" t="inlineStr">
        <ns0:is>
          <ns0:t xml:space="preserve">1.1.6</ns0:t>
        </ns0:is>
      </ns0:c>
      <ns0:c r="C9" s="15" t="inlineStr">
        <ns0:is>
          <ns0:t xml:space="preserve">贴片电容 100nF 1206</ns0:t>
        </ns0:is>
      </ns0:c>
      <ns0:c r="D9" s="16" t="inlineStr">
        <ns0:is>
          <ns0:t xml:space="preserve">100nF，1206，50V C0G</ns0:t>
        </ns0:is>
      </ns0:c>
      <ns0:c r="E9" s="17" t="inlineStr">
        <ns0:is>
          <ns0:t xml:space="preserve">Murata</ns0:t>
        </ns0:is>
      </ns0:c>
      <ns0:c r="F9" s="17" t="inlineStr">
        <ns0:is>
          <ns0:t xml:space="preserve">GRM31C5C1H104JA01L</ns0:t>
        </ns0:is>
      </ns0:c>
      <ns0:c r="G9" s="17" t="inlineStr">
        <ns0:is>
          <ns0:t xml:space="preserve">C97946</ns0:t>
        </ns0:is>
      </ns0:c>
      <ns0:c r="H9" s="16" t="inlineStr">
        <ns0:is>
          <ns0:t xml:space="preserve">C7</ns0:t>
        </ns0:is>
      </ns0:c>
      <ns0:c r="I9" s="17" t="inlineStr">
        <ns0:is>
          <ns0:t xml:space="preserve">电子元件（SMT）</ns0:t>
        </ns0:is>
      </ns0:c>
      <ns0:c r="J9" s="17" t="inlineStr">
        <ns0:is>
          <ns0:t xml:space="preserve">JLCPCB 贴片</ns0:t>
        </ns0:is>
      </ns0:c>
      <ns0:c r="K9" s="14" t="inlineStr">
        <ns0:is>
          <ns0:t xml:space="preserve">个</ns0:t>
        </ns0:is>
      </ns0:c>
      <ns0:c r="L9" s="18" t="n">
        <ns0:v>1</ns0:v>
      </ns0:c>
      <ns0:c r="M9" s="19" t="n">
        <ns0:f>M3*L9</ns0:f>
        <ns0:v>1</ns0:v>
      </ns0:c>
      <ns0:c r="N9" s="14" t="inlineStr">
        <ns0:is>
          <ns0:t xml:space="preserve">已确定</ns0:t>
        </ns0:is>
      </ns0:c>
      <ns0:c r="O9" s="16" t="inlineStr">
        <ns0:is>
          <ns0:t xml:space="preserve">设计型号各分销商均无货，替代 Murata GRM31C5C1H104JA01L（100 nF C0G 1206 50 V）。</ns0:t>
        </ns0:is>
      </ns0:c>
    </ns0:row>
    <ns0:row r="10" outlineLevel="2">
      <ns0:c r="A10" s="14" t="n">
        <ns0:v>2</ns0:v>
      </ns0:c>
      <ns0:c r="B10" s="14" t="inlineStr">
        <ns0:is>
          <ns0:t xml:space="preserve">1.1.7</ns0:t>
        </ns0:is>
      </ns0:c>
      <ns0:c r="C10" s="15" t="inlineStr">
        <ns0:is>
          <ns0:t xml:space="preserve">贴片电容 330pF 0402</ns0:t>
        </ns0:is>
      </ns0:c>
      <ns0:c r="D10" s="16" t="inlineStr">
        <ns0:is>
          <ns0:t xml:space="preserve">330pF，0402</ns0:t>
        </ns0:is>
      </ns0:c>
      <ns0:c r="E10" s="17" t="inlineStr">
        <ns0:is>
          <ns0:t xml:space="preserve">Yageo</ns0:t>
        </ns0:is>
      </ns0:c>
      <ns0:c r="F10" s="17" t="inlineStr">
        <ns0:is>
          <ns0:t xml:space="preserve">CC0402JRNPO9BN331</ns0:t>
        </ns0:is>
      </ns0:c>
      <ns0:c r="G10" s="17" t="inlineStr">
        <ns0:is>
          <ns0:t xml:space="preserve">C107006</ns0:t>
        </ns0:is>
      </ns0:c>
      <ns0:c r="H10" s="16" t="inlineStr">
        <ns0:is>
          <ns0:t xml:space="preserve">C8, C9, C10</ns0:t>
        </ns0:is>
      </ns0:c>
      <ns0:c r="I10" s="17" t="inlineStr">
        <ns0:is>
          <ns0:t xml:space="preserve">电子元件（SMT）</ns0:t>
        </ns0:is>
      </ns0:c>
      <ns0:c r="J10" s="17" t="inlineStr">
        <ns0:is>
          <ns0:t xml:space="preserve">JLCPCB 贴片</ns0:t>
        </ns0:is>
      </ns0:c>
      <ns0:c r="K10" s="14" t="inlineStr">
        <ns0:is>
          <ns0:t xml:space="preserve">个</ns0:t>
        </ns0:is>
      </ns0:c>
      <ns0:c r="L10" s="18" t="n">
        <ns0:v>3</ns0:v>
      </ns0:c>
      <ns0:c r="M10" s="19" t="n">
        <ns0:f>M3*L10</ns0:f>
        <ns0:v>3</ns0:v>
      </ns0:c>
      <ns0:c r="N10" s="14" t="inlineStr">
        <ns0:is>
          <ns0:t xml:space="preserve">已确定</ns0:t>
        </ns0:is>
      </ns0:c>
      <ns0:c r="O10" s="16" t="inlineStr">
        <ns0:is>
          <ns0:t xml:space="preserve">与设计型号一致。</ns0:t>
        </ns0:is>
      </ns0:c>
    </ns0:row>
    <ns0:row r="11" outlineLevel="2">
      <ns0:c r="A11" s="14" t="n">
        <ns0:v>2</ns0:v>
      </ns0:c>
      <ns0:c r="B11" s="14" t="inlineStr">
        <ns0:is>
          <ns0:t xml:space="preserve">1.1.8</ns0:t>
        </ns0:is>
      </ns0:c>
      <ns0:c r="C11" s="15" t="inlineStr">
        <ns0:is>
          <ns0:t xml:space="preserve">贴片电容 10uF 0805</ns0:t>
        </ns0:is>
      </ns0:c>
      <ns0:c r="D11" s="16" t="inlineStr">
        <ns0:is>
          <ns0:t xml:space="preserve">10uF，0805，25V X5R</ns0:t>
        </ns0:is>
      </ns0:c>
      <ns0:c r="E11" s="17" t="inlineStr">
        <ns0:is>
          <ns0:t xml:space="preserve">Samsung</ns0:t>
        </ns0:is>
      </ns0:c>
      <ns0:c r="F11" s="17" t="inlineStr">
        <ns0:is>
          <ns0:t xml:space="preserve">CL21A106KAYNNNE</ns0:t>
        </ns0:is>
      </ns0:c>
      <ns0:c r="G11" s="17" t="inlineStr">
        <ns0:is>
          <ns0:t xml:space="preserve">C15850</ns0:t>
        </ns0:is>
      </ns0:c>
      <ns0:c r="H11" s="16" t="inlineStr">
        <ns0:is>
          <ns0:t xml:space="preserve">C12</ns0:t>
        </ns0:is>
      </ns0:c>
      <ns0:c r="I11" s="17" t="inlineStr">
        <ns0:is>
          <ns0:t xml:space="preserve">电子元件（SMT）</ns0:t>
        </ns0:is>
      </ns0:c>
      <ns0:c r="J11" s="17" t="inlineStr">
        <ns0:is>
          <ns0:t xml:space="preserve">JLCPCB 贴片</ns0:t>
        </ns0:is>
      </ns0:c>
      <ns0:c r="K11" s="14" t="inlineStr">
        <ns0:is>
          <ns0:t xml:space="preserve">个</ns0:t>
        </ns0:is>
      </ns0:c>
      <ns0:c r="L11" s="18" t="n">
        <ns0:v>1</ns0:v>
      </ns0:c>
      <ns0:c r="M11" s="19" t="n">
        <ns0:f>M3*L11</ns0:f>
        <ns0:v>1</ns0:v>
      </ns0:c>
      <ns0:c r="N11" s="14" t="inlineStr">
        <ns0:is>
          <ns0:t xml:space="preserve">已确定</ns0:t>
        </ns0:is>
      </ns0:c>
      <ns0:c r="O11" s="16" t="inlineStr">
        <ns0:is>
          <ns0:t xml:space="preserve">设计型号 Yageo CC0805KRX5R8BB106。JLC 基础库替代 Samsung CL21A106KAYNNNE，规格相同（原型号 LCSC 缺货）。</ns0:t>
        </ns0:is>
      </ns0:c>
    </ns0:row>
    <ns0:row r="12" outlineLevel="2">
      <ns0:c r="A12" s="14" t="n">
        <ns0:v>2</ns0:v>
      </ns0:c>
      <ns0:c r="B12" s="14" t="inlineStr">
        <ns0:is>
          <ns0:t xml:space="preserve">1.1.9</ns0:t>
        </ns0:is>
      </ns0:c>
      <ns0:c r="C12" s="15" t="inlineStr">
        <ns0:is>
          <ns0:t xml:space="preserve">贴片电容 4.7uF 0402</ns0:t>
        </ns0:is>
      </ns0:c>
      <ns0:c r="D12" s="16" t="inlineStr">
        <ns0:is>
          <ns0:t xml:space="preserve">4.7uF，0402，10V X5R</ns0:t>
        </ns0:is>
      </ns0:c>
      <ns0:c r="E12" s="17" t="inlineStr">
        <ns0:is>
          <ns0:t xml:space="preserve">Samsung Electro-Mechanics</ns0:t>
        </ns0:is>
      </ns0:c>
      <ns0:c r="F12" s="17" t="inlineStr">
        <ns0:is>
          <ns0:t xml:space="preserve">CL05A475MP5NRNC</ns0:t>
        </ns0:is>
      </ns0:c>
      <ns0:c r="G12" s="17" t="inlineStr">
        <ns0:is>
          <ns0:t xml:space="preserve">C23733</ns0:t>
        </ns0:is>
      </ns0:c>
      <ns0:c r="H12" s="16" t="inlineStr">
        <ns0:is>
          <ns0:t xml:space="preserve">C13, C17, C29, C30</ns0:t>
        </ns0:is>
      </ns0:c>
      <ns0:c r="I12" s="17" t="inlineStr">
        <ns0:is>
          <ns0:t xml:space="preserve">电子元件（SMT）</ns0:t>
        </ns0:is>
      </ns0:c>
      <ns0:c r="J12" s="17" t="inlineStr">
        <ns0:is>
          <ns0:t xml:space="preserve">JLCPCB 贴片</ns0:t>
        </ns0:is>
      </ns0:c>
      <ns0:c r="K12" s="14" t="inlineStr">
        <ns0:is>
          <ns0:t xml:space="preserve">个</ns0:t>
        </ns0:is>
      </ns0:c>
      <ns0:c r="L12" s="18" t="n">
        <ns0:v>4</ns0:v>
      </ns0:c>
      <ns0:c r="M12" s="19" t="n">
        <ns0:f>M3*L12</ns0:f>
        <ns0:v>4</ns0:v>
      </ns0:c>
      <ns0:c r="N12" s="14" t="inlineStr">
        <ns0:is>
          <ns0:t xml:space="preserve">已确定</ns0:t>
        </ns0:is>
      </ns0:c>
      <ns0:c r="O12" s="16" t="inlineStr">
        <ns0:is>
          <ns0:t xml:space="preserve">Rev B：MCU 移位后由 0603 改为 0402；4.7 µF 10 V X5R（JLC 基础库），轨电压 ≤ 3.3 V。</ns0:t>
        </ns0:is>
      </ns0:c>
    </ns0:row>
    <ns0:row r="13" outlineLevel="2">
      <ns0:c r="A13" s="14" t="n">
        <ns0:v>2</ns0:v>
      </ns0:c>
      <ns0:c r="B13" s="14" t="inlineStr">
        <ns0:is>
          <ns0:t xml:space="preserve">1.1.10</ns0:t>
        </ns0:is>
      </ns0:c>
      <ns0:c r="C13" s="15" t="inlineStr">
        <ns0:is>
          <ns0:t xml:space="preserve">贴片电容 2.2uF 0402</ns0:t>
        </ns0:is>
      </ns0:c>
      <ns0:c r="D13" s="16" t="inlineStr">
        <ns0:is>
          <ns0:t xml:space="preserve">2.2uF，0402，10V X5R</ns0:t>
        </ns0:is>
      </ns0:c>
      <ns0:c r="E13" s="17" t="inlineStr">
        <ns0:is>
          <ns0:t xml:space="preserve">Samsung Electro-Mechanics</ns0:t>
        </ns0:is>
      </ns0:c>
      <ns0:c r="F13" s="17" t="inlineStr">
        <ns0:is>
          <ns0:t xml:space="preserve">CL05A225KP5NSNC</ns0:t>
        </ns0:is>
      </ns0:c>
      <ns0:c r="G13" s="17" t="inlineStr">
        <ns0:is>
          <ns0:t xml:space="preserve">C107369</ns0:t>
        </ns0:is>
      </ns0:c>
      <ns0:c r="H13" s="16" t="inlineStr">
        <ns0:is>
          <ns0:t xml:space="preserve">C14, C16, C23, C24, C27, C31</ns0:t>
        </ns0:is>
      </ns0:c>
      <ns0:c r="I13" s="17" t="inlineStr">
        <ns0:is>
          <ns0:t xml:space="preserve">电子元件（SMT）</ns0:t>
        </ns0:is>
      </ns0:c>
      <ns0:c r="J13" s="17" t="inlineStr">
        <ns0:is>
          <ns0:t xml:space="preserve">JLCPCB 贴片</ns0:t>
        </ns0:is>
      </ns0:c>
      <ns0:c r="K13" s="14" t="inlineStr">
        <ns0:is>
          <ns0:t xml:space="preserve">个</ns0:t>
        </ns0:is>
      </ns0:c>
      <ns0:c r="L13" s="18" t="n">
        <ns0:v>6</ns0:v>
      </ns0:c>
      <ns0:c r="M13" s="19" t="n">
        <ns0:f>M3*L13</ns0:f>
        <ns0:v>6</ns0:v>
      </ns0:c>
      <ns0:c r="N13" s="14" t="inlineStr">
        <ns0:is>
          <ns0:t xml:space="preserve">已确定</ns0:t>
        </ns0:is>
      </ns0:c>
      <ns0:c r="O13" s="16" t="inlineStr">
        <ns0:is>
          <ns0:t xml:space="preserve">Rev B：由 0603 改为 0402；2.2 µF 10 V X5R（6.3 V 基础库 C12530 亦可）。</ns0:t>
        </ns0:is>
      </ns0:c>
    </ns0:row>
    <ns0:row r="14" outlineLevel="2">
      <ns0:c r="A14" s="14" t="n">
        <ns0:v>2</ns0:v>
      </ns0:c>
      <ns0:c r="B14" s="14" t="inlineStr">
        <ns0:is>
          <ns0:t xml:space="preserve">1.1.11</ns0:t>
        </ns0:is>
      </ns0:c>
      <ns0:c r="C14" s="15" t="inlineStr">
        <ns0:is>
          <ns0:t xml:space="preserve">贴片电容 1uF 0402</ns0:t>
        </ns0:is>
      </ns0:c>
      <ns0:c r="D14" s="16" t="inlineStr">
        <ns0:is>
          <ns0:t xml:space="preserve">1uF，0402，25V X5R</ns0:t>
        </ns0:is>
      </ns0:c>
      <ns0:c r="E14" s="17" t="inlineStr">
        <ns0:is>
          <ns0:t xml:space="preserve">Samsung Electro-Mechanics</ns0:t>
        </ns0:is>
      </ns0:c>
      <ns0:c r="F14" s="17" t="inlineStr">
        <ns0:is>
          <ns0:t xml:space="preserve">CL05A105KA5NQNC</ns0:t>
        </ns0:is>
      </ns0:c>
      <ns0:c r="G14" s="17" t="inlineStr">
        <ns0:is>
          <ns0:t xml:space="preserve">C52923</ns0:t>
        </ns0:is>
      </ns0:c>
      <ns0:c r="H14" s="16" t="inlineStr">
        <ns0:is>
          <ns0:t xml:space="preserve">C15, C26</ns0:t>
        </ns0:is>
      </ns0:c>
      <ns0:c r="I14" s="17" t="inlineStr">
        <ns0:is>
          <ns0:t xml:space="preserve">电子元件（SMT）</ns0:t>
        </ns0:is>
      </ns0:c>
      <ns0:c r="J14" s="17" t="inlineStr">
        <ns0:is>
          <ns0:t xml:space="preserve">JLCPCB 贴片</ns0:t>
        </ns0:is>
      </ns0:c>
      <ns0:c r="K14" s="14" t="inlineStr">
        <ns0:is>
          <ns0:t xml:space="preserve">个</ns0:t>
        </ns0:is>
      </ns0:c>
      <ns0:c r="L14" s="18" t="n">
        <ns0:v>2</ns0:v>
      </ns0:c>
      <ns0:c r="M14" s="19" t="n">
        <ns0:f>M3*L14</ns0:f>
        <ns0:v>2</ns0:v>
      </ns0:c>
      <ns0:c r="N14" s="14" t="inlineStr">
        <ns0:is>
          <ns0:t xml:space="preserve">已确定</ns0:t>
        </ns0:is>
      </ns0:c>
      <ns0:c r="O14" s="16" t="inlineStr">
        <ns0:is>
          <ns0:t xml:space="preserve">Rev B：由 0603 改为 0402；1 µF 25 V X5R（JLC 基础库）。</ns0:t>
        </ns0:is>
      </ns0:c>
    </ns0:row>
    <ns0:row r="15" outlineLevel="2">
      <ns0:c r="A15" s="14" t="n">
        <ns0:v>2</ns0:v>
      </ns0:c>
      <ns0:c r="B15" s="14" t="inlineStr">
        <ns0:is>
          <ns0:t xml:space="preserve">1.1.12</ns0:t>
        </ns0:is>
      </ns0:c>
      <ns0:c r="C15" s="15" t="inlineStr">
        <ns0:is>
          <ns0:t xml:space="preserve">贴片电容 4.7uF 0603</ns0:t>
        </ns0:is>
      </ns0:c>
      <ns0:c r="D15" s="16" t="inlineStr">
        <ns0:is>
          <ns0:t xml:space="preserve">4.7uF，0603，16V X5R</ns0:t>
        </ns0:is>
      </ns0:c>
      <ns0:c r="E15" s="17" t="inlineStr">
        <ns0:is>
          <ns0:t xml:space="preserve">Samsung</ns0:t>
        </ns0:is>
      </ns0:c>
      <ns0:c r="F15" s="17" t="inlineStr">
        <ns0:is>
          <ns0:t xml:space="preserve">CL10A475KO8NNNC</ns0:t>
        </ns0:is>
      </ns0:c>
      <ns0:c r="G15" s="17" t="inlineStr">
        <ns0:is>
          <ns0:t xml:space="preserve">C19666</ns0:t>
        </ns0:is>
      </ns0:c>
      <ns0:c r="H15" s="16" t="inlineStr">
        <ns0:is>
          <ns0:t xml:space="preserve">C18, C40, C41, C48</ns0:t>
        </ns0:is>
      </ns0:c>
      <ns0:c r="I15" s="17" t="inlineStr">
        <ns0:is>
          <ns0:t xml:space="preserve">电子元件（SMT）</ns0:t>
        </ns0:is>
      </ns0:c>
      <ns0:c r="J15" s="17" t="inlineStr">
        <ns0:is>
          <ns0:t xml:space="preserve">JLCPCB 贴片</ns0:t>
        </ns0:is>
      </ns0:c>
      <ns0:c r="K15" s="14" t="inlineStr">
        <ns0:is>
          <ns0:t xml:space="preserve">个</ns0:t>
        </ns0:is>
      </ns0:c>
      <ns0:c r="L15" s="18" t="n">
        <ns0:v>4</ns0:v>
      </ns0:c>
      <ns0:c r="M15" s="19" t="n">
        <ns0:f>M3*L15</ns0:f>
        <ns0:v>4</ns0:v>
      </ns0:c>
      <ns0:c r="N15" s="14" t="inlineStr">
        <ns0:is>
          <ns0:t xml:space="preserve">已确定</ns0:t>
        </ns0:is>
      </ns0:c>
      <ns0:c r="O15" s="16" t="inlineStr">
        <ns0:is>
          <ns0:t xml:space="preserve">设计型号 Yageo CC0603KRX5R6BB475。JLC 基础库替代 Samsung CL10A475KO8NNNC（16 V），规格相同，耐压更高。</ns0:t>
        </ns0:is>
      </ns0:c>
    </ns0:row>
    <ns0:row r="16" outlineLevel="2">
      <ns0:c r="A16" s="14" t="n">
        <ns0:v>2</ns0:v>
      </ns0:c>
      <ns0:c r="B16" s="14" t="inlineStr">
        <ns0:is>
          <ns0:t xml:space="preserve">1.1.13</ns0:t>
        </ns0:is>
      </ns0:c>
      <ns0:c r="C16" s="15" t="inlineStr">
        <ns0:is>
          <ns0:t xml:space="preserve">贴片电容 100nF 0402</ns0:t>
        </ns0:is>
      </ns0:c>
      <ns0:c r="D16" s="16" t="inlineStr">
        <ns0:is>
          <ns0:t xml:space="preserve">100nF，0402，16V X7R</ns0:t>
        </ns0:is>
      </ns0:c>
      <ns0:c r="E16" s="17" t="inlineStr">
        <ns0:is>
          <ns0:t xml:space="preserve">Samsung</ns0:t>
        </ns0:is>
      </ns0:c>
      <ns0:c r="F16" s="17" t="inlineStr">
        <ns0:is>
          <ns0:t xml:space="preserve">CL05B104KO5NNNC</ns0:t>
        </ns0:is>
      </ns0:c>
      <ns0:c r="G16" s="17" t="inlineStr">
        <ns0:is>
          <ns0:t xml:space="preserve">C1525</ns0:t>
        </ns0:is>
      </ns0:c>
      <ns0:c r="H16" s="16" t="inlineStr">
        <ns0:is>
          <ns0:t xml:space="preserve">C19, C20, C22</ns0:t>
        </ns0:is>
      </ns0:c>
      <ns0:c r="I16" s="17" t="inlineStr">
        <ns0:is>
          <ns0:t xml:space="preserve">电子元件（SMT）</ns0:t>
        </ns0:is>
      </ns0:c>
      <ns0:c r="J16" s="17" t="inlineStr">
        <ns0:is>
          <ns0:t xml:space="preserve">JLCPCB 贴片</ns0:t>
        </ns0:is>
      </ns0:c>
      <ns0:c r="K16" s="14" t="inlineStr">
        <ns0:is>
          <ns0:t xml:space="preserve">个</ns0:t>
        </ns0:is>
      </ns0:c>
      <ns0:c r="L16" s="18" t="n">
        <ns0:v>3</ns0:v>
      </ns0:c>
      <ns0:c r="M16" s="19" t="n">
        <ns0:f>M3*L16</ns0:f>
        <ns0:v>3</ns0:v>
      </ns0:c>
      <ns0:c r="N16" s="14" t="inlineStr">
        <ns0:is>
          <ns0:t xml:space="preserve">已确定</ns0:t>
        </ns0:is>
      </ns0:c>
      <ns0:c r="O16" s="16" t="inlineStr">
        <ns0:is>
          <ns0:t xml:space="preserve">设计型号 Yageo CC0402KRX7R7BB104。JLC 基础库替代 Samsung CL05B104KO5NNNC，规格相同。</ns0:t>
        </ns0:is>
      </ns0:c>
    </ns0:row>
    <ns0:row r="17" outlineLevel="2">
      <ns0:c r="A17" s="14" t="n">
        <ns0:v>2</ns0:v>
      </ns0:c>
      <ns0:c r="B17" s="14" t="inlineStr">
        <ns0:is>
          <ns0:t xml:space="preserve">1.1.14</ns0:t>
        </ns0:is>
      </ns0:c>
      <ns0:c r="C17" s="15" t="inlineStr">
        <ns0:is>
          <ns0:t xml:space="preserve">贴片电容 470nF 0402</ns0:t>
        </ns0:is>
      </ns0:c>
      <ns0:c r="D17" s="16" t="inlineStr">
        <ns0:is>
          <ns0:t xml:space="preserve">470nF，0402</ns0:t>
        </ns0:is>
      </ns0:c>
      <ns0:c r="E17" s="17" t="inlineStr">
        <ns0:is>
          <ns0:t xml:space="preserve">Yageo</ns0:t>
        </ns0:is>
      </ns0:c>
      <ns0:c r="F17" s="17" t="inlineStr">
        <ns0:is>
          <ns0:t xml:space="preserve">CC0402KRX5R6BB474</ns0:t>
        </ns0:is>
      </ns0:c>
      <ns0:c r="G17" s="17" t="inlineStr">
        <ns0:is>
          <ns0:t xml:space="preserve">C106255</ns0:t>
        </ns0:is>
      </ns0:c>
      <ns0:c r="H17" s="16" t="inlineStr">
        <ns0:is>
          <ns0:t xml:space="preserve">C25</ns0:t>
        </ns0:is>
      </ns0:c>
      <ns0:c r="I17" s="17" t="inlineStr">
        <ns0:is>
          <ns0:t xml:space="preserve">电子元件（SMT）</ns0:t>
        </ns0:is>
      </ns0:c>
      <ns0:c r="J17" s="17" t="inlineStr">
        <ns0:is>
          <ns0:t xml:space="preserve">JLCPCB 贴片</ns0:t>
        </ns0:is>
      </ns0:c>
      <ns0:c r="K17" s="14" t="inlineStr">
        <ns0:is>
          <ns0:t xml:space="preserve">个</ns0:t>
        </ns0:is>
      </ns0:c>
      <ns0:c r="L17" s="18" t="n">
        <ns0:v>1</ns0:v>
      </ns0:c>
      <ns0:c r="M17" s="19" t="n">
        <ns0:f>M3*L17</ns0:f>
        <ns0:v>1</ns0:v>
      </ns0:c>
      <ns0:c r="N17" s="14" t="inlineStr">
        <ns0:is>
          <ns0:t xml:space="preserve">已确定</ns0:t>
        </ns0:is>
      </ns0:c>
      <ns0:c r="O17" s="16" t="inlineStr">
        <ns0:is>
          <ns0:t xml:space="preserve">与设计型号一致。</ns0:t>
        </ns0:is>
      </ns0:c>
    </ns0:row>
    <ns0:row r="18" outlineLevel="2">
      <ns0:c r="A18" s="14" t="n">
        <ns0:v>2</ns0:v>
      </ns0:c>
      <ns0:c r="B18" s="14" t="inlineStr">
        <ns0:is>
          <ns0:t xml:space="preserve">1.1.15</ns0:t>
        </ns0:is>
      </ns0:c>
      <ns0:c r="C18" s="15" t="inlineStr">
        <ns0:is>
          <ns0:t xml:space="preserve">贴片电容 4.7uF 0402</ns0:t>
        </ns0:is>
      </ns0:c>
      <ns0:c r="D18" s="16" t="inlineStr">
        <ns0:is>
          <ns0:t xml:space="preserve">4.7uF，0402，10V X5R</ns0:t>
        </ns0:is>
      </ns0:c>
      <ns0:c r="E18" s="17" t="inlineStr">
        <ns0:is>
          <ns0:t xml:space="preserve">Samsung Electro-Mechanics</ns0:t>
        </ns0:is>
      </ns0:c>
      <ns0:c r="F18" s="17" t="inlineStr">
        <ns0:is>
          <ns0:t xml:space="preserve">CL05A475MP5NRNC</ns0:t>
        </ns0:is>
      </ns0:c>
      <ns0:c r="G18" s="17" t="inlineStr">
        <ns0:is>
          <ns0:t xml:space="preserve">C23733</ns0:t>
        </ns0:is>
      </ns0:c>
      <ns0:c r="H18" s="16" t="inlineStr">
        <ns0:is>
          <ns0:t xml:space="preserve">C28</ns0:t>
        </ns0:is>
      </ns0:c>
      <ns0:c r="I18" s="17" t="inlineStr">
        <ns0:is>
          <ns0:t xml:space="preserve">电子元件（SMT）</ns0:t>
        </ns0:is>
      </ns0:c>
      <ns0:c r="J18" s="17" t="inlineStr">
        <ns0:is>
          <ns0:t xml:space="preserve">JLCPCB 贴片</ns0:t>
        </ns0:is>
      </ns0:c>
      <ns0:c r="K18" s="14" t="inlineStr">
        <ns0:is>
          <ns0:t xml:space="preserve">个</ns0:t>
        </ns0:is>
      </ns0:c>
      <ns0:c r="L18" s="18" t="n">
        <ns0:v>1</ns0:v>
      </ns0:c>
      <ns0:c r="M18" s="19" t="n">
        <ns0:f>M3*L18</ns0:f>
        <ns0:v>1</ns0:v>
      </ns0:c>
      <ns0:c r="N18" s="14" t="inlineStr">
        <ns0:is>
          <ns0:t xml:space="preserve">已确定</ns0:t>
        </ns0:is>
      </ns0:c>
      <ns0:c r="O18" s="16" t="inlineStr">
        <ns0:is>
          <ns0:t xml:space="preserve">Rev B：改 0402 以放入 MCU 后方 F 面电容排（U5 pin 24 VCC 去耦）。位于 SYSTEM_SUPPLY（≤ 4.4 V），直流偏压后有效容量约减半，由 C12/C42/C45 补足。</ns0:t>
        </ns0:is>
      </ns0:c>
    </ns0:row>
    <ns0:row r="19" outlineLevel="2">
      <ns0:c r="A19" s="14" t="n">
        <ns0:v>2</ns0:v>
      </ns0:c>
      <ns0:c r="B19" s="14" t="inlineStr">
        <ns0:is>
          <ns0:t xml:space="preserve">1.1.16</ns0:t>
        </ns0:is>
      </ns0:c>
      <ns0:c r="C19" s="15" t="inlineStr">
        <ns0:is>
          <ns0:t xml:space="preserve">贴片电容 10uF 1206</ns0:t>
        </ns0:is>
      </ns0:c>
      <ns0:c r="D19" s="16" t="inlineStr">
        <ns0:is>
          <ns0:t xml:space="preserve">10uF，1206，16V X7R</ns0:t>
        </ns0:is>
      </ns0:c>
      <ns0:c r="E19" s="17" t="inlineStr">
        <ns0:is>
          <ns0:t xml:space="preserve">TDK</ns0:t>
        </ns0:is>
      </ns0:c>
      <ns0:c r="F19" s="17" t="inlineStr">
        <ns0:is>
          <ns0:t xml:space="preserve">C3216X7R1C106KT000N</ns0:t>
        </ns0:is>
      </ns0:c>
      <ns0:c r="G19" s="17" t="inlineStr">
        <ns0:is>
          <ns0:t xml:space="preserve">C342827</ns0:t>
        </ns0:is>
      </ns0:c>
      <ns0:c r="H19" s="16" t="inlineStr">
        <ns0:is>
          <ns0:t xml:space="preserve">C42, C43, C44, C45, C46, C47</ns0:t>
        </ns0:is>
      </ns0:c>
      <ns0:c r="I19" s="17" t="inlineStr">
        <ns0:is>
          <ns0:t xml:space="preserve">电子元件（SMT）</ns0:t>
        </ns0:is>
      </ns0:c>
      <ns0:c r="J19" s="17" t="inlineStr">
        <ns0:is>
          <ns0:t xml:space="preserve">JLCPCB 贴片</ns0:t>
        </ns0:is>
      </ns0:c>
      <ns0:c r="K19" s="14" t="inlineStr">
        <ns0:is>
          <ns0:t xml:space="preserve">个</ns0:t>
        </ns0:is>
      </ns0:c>
      <ns0:c r="L19" s="18" t="n">
        <ns0:v>6</ns0:v>
      </ns0:c>
      <ns0:c r="M19" s="19" t="n">
        <ns0:f>M3*L19</ns0:f>
        <ns0:v>6</ns0:v>
      </ns0:c>
      <ns0:c r="N19" s="14" t="inlineStr">
        <ns0:is>
          <ns0:t xml:space="preserve">已确定</ns0:t>
        </ns0:is>
      </ns0:c>
      <ns0:c r="O19" s="16" t="inlineStr">
        <ns0:is>
          <ns0:t xml:space="preserve">设计型号 TDK C3216X7R1C106K160AC。同规格同厂替代 TDK C3216X7R1C106KT000N（原型号 LCSC 缺货）。</ns0:t>
        </ns0:is>
      </ns0:c>
    </ns0:row>
    <ns0:row r="20" outlineLevel="2">
      <ns0:c r="A20" s="14" t="n">
        <ns0:v>2</ns0:v>
      </ns0:c>
      <ns0:c r="B20" s="14" t="inlineStr">
        <ns0:is>
          <ns0:t xml:space="preserve">1.1.17</ns0:t>
        </ns0:is>
      </ns0:c>
      <ns0:c r="C20" s="15" t="inlineStr">
        <ns0:is>
          <ns0:t xml:space="preserve">贴片电容 15pF 0402</ns0:t>
        </ns0:is>
      </ns0:c>
      <ns0:c r="D20" s="16" t="inlineStr">
        <ns0:is>
          <ns0:t xml:space="preserve">15pF，0402，50V (JLC</ns0:t>
        </ns0:is>
      </ns0:c>
      <ns0:c r="E20" s="17" t="inlineStr">
        <ns0:is>
          <ns0:t xml:space="preserve">FH (Guangdong Fenghua)</ns0:t>
        </ns0:is>
      </ns0:c>
      <ns0:c r="F20" s="17" t="inlineStr">
        <ns0:is>
          <ns0:t xml:space="preserve">0402CG150J500NT</ns0:t>
        </ns0:is>
      </ns0:c>
      <ns0:c r="G20" s="17" t="inlineStr">
        <ns0:is>
          <ns0:t xml:space="preserve">C1548</ns0:t>
        </ns0:is>
      </ns0:c>
      <ns0:c r="H20" s="16" t="inlineStr">
        <ns0:is>
          <ns0:t xml:space="preserve">C57</ns0:t>
        </ns0:is>
      </ns0:c>
      <ns0:c r="I20" s="17" t="inlineStr">
        <ns0:is>
          <ns0:t xml:space="preserve">电子元件（SMT）</ns0:t>
        </ns0:is>
      </ns0:c>
      <ns0:c r="J20" s="17" t="inlineStr">
        <ns0:is>
          <ns0:t xml:space="preserve">JLCPCB 贴片</ns0:t>
        </ns0:is>
      </ns0:c>
      <ns0:c r="K20" s="14" t="inlineStr">
        <ns0:is>
          <ns0:t xml:space="preserve">个</ns0:t>
        </ns0:is>
      </ns0:c>
      <ns0:c r="L20" s="18" t="n">
        <ns0:v>1</ns0:v>
      </ns0:c>
      <ns0:c r="M20" s="19" t="n">
        <ns0:f>M3*L20</ns0:f>
        <ns0:v>1</ns0:v>
      </ns0:c>
      <ns0:c r="N20" s="14" t="inlineStr">
        <ns0:is>
          <ns0:t xml:space="preserve">已确定</ns0:t>
        </ns0:is>
      </ns0:c>
      <ns0:c r="O20" s="16" t="inlineStr">
        <ns0:is>
          <ns0:t xml:space="preserve">Rev B：射频直流隔断电容，串联于 U5 pin 53 的 π 网络；C0G 50 V（JLC 基础库）。</ns0:t>
        </ns0:is>
      </ns0:c>
    </ns0:row>
    <ns0:row r="21" outlineLevel="2">
      <ns0:c r="A21" s="14" t="n">
        <ns0:v>2</ns0:v>
      </ns0:c>
      <ns0:c r="B21" s="14" t="inlineStr">
        <ns0:is>
          <ns0:t xml:space="preserve">1.1.18</ns0:t>
        </ns0:is>
      </ns0:c>
      <ns0:c r="C21" s="15" t="inlineStr">
        <ns0:is>
          <ns0:t xml:space="preserve">扬声器连接器 MX1.25 2P</ns0:t>
        </ns0:is>
      </ns0:c>
      <ns0:c r="D21" s="16" t="inlineStr">
        <ns0:is>
          <ns0:t xml:space="preserve">Molex PicoBlade 53261-0271，2 位 1.25 mm 卧式贴片针座；配对插头 51021-0200</ns0:t>
        </ns0:is>
      </ns0:c>
      <ns0:c r="E21" s="17" t="inlineStr">
        <ns0:is>
          <ns0:t xml:space="preserve">Molex</ns0:t>
        </ns0:is>
      </ns0:c>
      <ns0:c r="F21" s="17" t="inlineStr">
        <ns0:is>
          <ns0:t xml:space="preserve">53261-0271</ns0:t>
        </ns0:is>
      </ns0:c>
      <ns0:c r="G21" s="17" t="inlineStr">
        <ns0:is>
          <ns0:t xml:space="preserve">C177225</ns0:t>
        </ns0:is>
      </ns0:c>
      <ns0:c r="H21" s="16" t="inlineStr">
        <ns0:is>
          <ns0:t xml:space="preserve">J1</ns0:t>
        </ns0:is>
      </ns0:c>
      <ns0:c r="I21" s="17" t="inlineStr">
        <ns0:is>
          <ns0:t xml:space="preserve">电子元件（SMT）</ns0:t>
        </ns0:is>
      </ns0:c>
      <ns0:c r="J21" s="17" t="inlineStr">
        <ns0:is>
          <ns0:t xml:space="preserve">JLCPCB 贴片</ns0:t>
        </ns0:is>
      </ns0:c>
      <ns0:c r="K21" s="14" t="inlineStr">
        <ns0:is>
          <ns0:t xml:space="preserve">个</ns0:t>
        </ns0:is>
      </ns0:c>
      <ns0:c r="L21" s="18" t="n">
        <ns0:v>1</ns0:v>
      </ns0:c>
      <ns0:c r="M21" s="19" t="n">
        <ns0:f>M3*L21</ns0:f>
        <ns0:v>1</ns0:v>
      </ns0:c>
      <ns0:c r="N21" s="14" t="inlineStr">
        <ns0:is>
          <ns0:t xml:space="preserve">已确定</ns0:t>
        </ns0:is>
      </ns0:c>
      <ns0:c r="O21" s="16" t="inlineStr">
        <ns0:is>
          <ns0:t xml:space="preserve">与设计型号一致。</ns0:t>
        </ns0:is>
      </ns0:c>
    </ns0:row>
    <ns0:row r="22" outlineLevel="2">
      <ns0:c r="A22" s="14" t="n">
        <ns0:v>2</ns0:v>
      </ns0:c>
      <ns0:c r="B22" s="14" t="inlineStr">
        <ns0:is>
          <ns0:t xml:space="preserve">1.1.19</ns0:t>
        </ns0:is>
      </ns0:c>
      <ns0:c r="C22" s="15" t="inlineStr">
        <ns0:is>
          <ns0:t xml:space="preserve">板间 FPC 连接器 4P 0.5 mm</ns0:t>
        </ns0:is>
      </ns0:c>
      <ns0:c r="D22" s="16" t="inlineStr">
        <ns0:is>
          <ns0:t xml:space="preserve">Hirose FH34SRJ-4S，0.5 mm 间距 4 位，下接触，接编码器板</ns0:t>
        </ns0:is>
      </ns0:c>
      <ns0:c r="E22" s="17" t="inlineStr">
        <ns0:is>
          <ns0:t xml:space="preserve">Hirose</ns0:t>
        </ns0:is>
      </ns0:c>
      <ns0:c r="F22" s="17" t="inlineStr">
        <ns0:is>
          <ns0:t xml:space="preserve">FH34SRJ-4S-0.5SH(50)</ns0:t>
        </ns0:is>
      </ns0:c>
      <ns0:c r="G22" s="17" t="inlineStr">
        <ns0:is>
          <ns0:t xml:space="preserve">C596732</ns0:t>
        </ns0:is>
      </ns0:c>
      <ns0:c r="H22" s="16" t="inlineStr">
        <ns0:is>
          <ns0:t xml:space="preserve">J2</ns0:t>
        </ns0:is>
      </ns0:c>
      <ns0:c r="I22" s="17" t="inlineStr">
        <ns0:is>
          <ns0:t xml:space="preserve">电子元件（SMT）</ns0:t>
        </ns0:is>
      </ns0:c>
      <ns0:c r="J22" s="17" t="inlineStr">
        <ns0:is>
          <ns0:t xml:space="preserve">JLCPCB 贴片</ns0:t>
        </ns0:is>
      </ns0:c>
      <ns0:c r="K22" s="14" t="inlineStr">
        <ns0:is>
          <ns0:t xml:space="preserve">个</ns0:t>
        </ns0:is>
      </ns0:c>
      <ns0:c r="L22" s="18" t="n">
        <ns0:v>1</ns0:v>
      </ns0:c>
      <ns0:c r="M22" s="19" t="n">
        <ns0:f>M3*L22</ns0:f>
        <ns0:v>1</ns0:v>
      </ns0:c>
      <ns0:c r="N22" s="14" t="inlineStr">
        <ns0:is>
          <ns0:t xml:space="preserve">已确定</ns0:t>
        </ns0:is>
      </ns0:c>
      <ns0:c r="O22" s="16" t="inlineStr">
        <ns0:is>
          <ns0:t xml:space="preserve">设计型号 Hirose FH34SRJ-4S-0.5SH(99)。同一连接器：(50) 为卷装，(99) 为小包装（无库存）。</ns0:t>
        </ns0:is>
      </ns0:c>
    </ns0:row>
    <ns0:row r="23" outlineLevel="2">
      <ns0:c r="A23" s="14" t="n">
        <ns0:v>2</ns0:v>
      </ns0:c>
      <ns0:c r="B23" s="14" t="inlineStr">
        <ns0:is>
          <ns0:t xml:space="preserve">1.1.20</ns0:t>
        </ns0:is>
      </ns0:c>
      <ns0:c r="C23" s="15" t="inlineStr">
        <ns0:is>
          <ns0:t xml:space="preserve">电池连接器 MX1.25 3P</ns0:t>
        </ns0:is>
      </ns0:c>
      <ns0:c r="D23" s="16" t="inlineStr">
        <ns0:is>
          <ns0:t xml:space="preserve">Molex PicoBlade 53261-0371，3 位 1.25 mm 卧式贴片针座：1 VCELL、2 NTC、3 GND；配对插头 51021-0300</ns0:t>
        </ns0:is>
      </ns0:c>
      <ns0:c r="E23" s="17" t="inlineStr">
        <ns0:is>
          <ns0:t xml:space="preserve">Molex</ns0:t>
        </ns0:is>
      </ns0:c>
      <ns0:c r="F23" s="17" t="inlineStr">
        <ns0:is>
          <ns0:t xml:space="preserve">53261-0371</ns0:t>
        </ns0:is>
      </ns0:c>
      <ns0:c r="G23" s="17" t="inlineStr">
        <ns0:is>
          <ns0:t xml:space="preserve">C293630</ns0:t>
        </ns0:is>
      </ns0:c>
      <ns0:c r="H23" s="16" t="inlineStr">
        <ns0:is>
          <ns0:t xml:space="preserve">J3</ns0:t>
        </ns0:is>
      </ns0:c>
      <ns0:c r="I23" s="17" t="inlineStr">
        <ns0:is>
          <ns0:t xml:space="preserve">电子元件（SMT）</ns0:t>
        </ns0:is>
      </ns0:c>
      <ns0:c r="J23" s="17" t="inlineStr">
        <ns0:is>
          <ns0:t xml:space="preserve">JLCPCB 贴片</ns0:t>
        </ns0:is>
      </ns0:c>
      <ns0:c r="K23" s="14" t="inlineStr">
        <ns0:is>
          <ns0:t xml:space="preserve">个</ns0:t>
        </ns0:is>
      </ns0:c>
      <ns0:c r="L23" s="18" t="n">
        <ns0:v>1</ns0:v>
      </ns0:c>
      <ns0:c r="M23" s="19" t="n">
        <ns0:f>M3*L23</ns0:f>
        <ns0:v>1</ns0:v>
      </ns0:c>
      <ns0:c r="N23" s="14" t="inlineStr">
        <ns0:is>
          <ns0:t xml:space="preserve">已确定</ns0:t>
        </ns0:is>
      </ns0:c>
      <ns0:c r="O23" s="16" t="inlineStr">
        <ns0:is>
          <ns0:t xml:space="preserve">Rev B 新电池连接器（MX1.25 3 位卧式贴片）：1 VCELL、2 NTC、3 GND；配对插头 Molex 51021-0300。</ns0:t>
        </ns0:is>
      </ns0:c>
    </ns0:row>
    <ns0:row r="24" outlineLevel="2">
      <ns0:c r="A24" s="14" t="n">
        <ns0:v>2</ns0:v>
      </ns0:c>
      <ns0:c r="B24" s="14" t="inlineStr">
        <ns0:is>
          <ns0:t xml:space="preserve">1.1.21</ns0:t>
        </ns0:is>
      </ns0:c>
      <ns0:c r="C24" s="15" t="inlineStr">
        <ns0:is>
          <ns0:t xml:space="preserve">USB Type-C 母座 16P</ns0:t>
        </ns0:is>
      </ns0:c>
      <ns0:c r="D24" s="16" t="inlineStr">
        <ns0:is>
          <ns0:t xml:space="preserve">HRO TYPE-C-31-M-12，16 位贴片+插件外壳，USB 2.0</ns0:t>
        </ns0:is>
      </ns0:c>
      <ns0:c r="E24" s="17" t="inlineStr">
        <ns0:is>
          <ns0:t xml:space="preserve">HRO</ns0:t>
        </ns0:is>
      </ns0:c>
      <ns0:c r="F24" s="17" t="inlineStr">
        <ns0:is>
          <ns0:t xml:space="preserve">TYPE-C-31-M-12</ns0:t>
        </ns0:is>
      </ns0:c>
      <ns0:c r="G24" s="17" t="inlineStr">
        <ns0:is>
          <ns0:t xml:space="preserve">C165948</ns0:t>
        </ns0:is>
      </ns0:c>
      <ns0:c r="H24" s="16" t="inlineStr">
        <ns0:is>
          <ns0:t xml:space="preserve">J5</ns0:t>
        </ns0:is>
      </ns0:c>
      <ns0:c r="I24" s="17" t="inlineStr">
        <ns0:is>
          <ns0:t xml:space="preserve">电子元件（SMT）</ns0:t>
        </ns0:is>
      </ns0:c>
      <ns0:c r="J24" s="17" t="inlineStr">
        <ns0:is>
          <ns0:t xml:space="preserve">JLCPCB 贴片</ns0:t>
        </ns0:is>
      </ns0:c>
      <ns0:c r="K24" s="14" t="inlineStr">
        <ns0:is>
          <ns0:t xml:space="preserve">个</ns0:t>
        </ns0:is>
      </ns0:c>
      <ns0:c r="L24" s="18" t="n">
        <ns0:v>1</ns0:v>
      </ns0:c>
      <ns0:c r="M24" s="19" t="n">
        <ns0:f>M3*L24</ns0:f>
        <ns0:v>1</ns0:v>
      </ns0:c>
      <ns0:c r="N24" s="14" t="inlineStr">
        <ns0:is>
          <ns0:t xml:space="preserve">已确定</ns0:t>
        </ns0:is>
      </ns0:c>
      <ns0:c r="O24" s="16" t="inlineStr">
        <ns0:is>
          <ns0:t xml:space="preserve">与设计型号一致。</ns0:t>
        </ns0:is>
      </ns0:c>
    </ns0:row>
    <ns0:row r="25" outlineLevel="2">
      <ns0:c r="A25" s="14" t="n">
        <ns0:v>2</ns0:v>
      </ns0:c>
      <ns0:c r="B25" s="14" t="inlineStr">
        <ns0:is>
          <ns0:t xml:space="preserve">1.1.22</ns0:t>
        </ns0:is>
      </ns0:c>
      <ns0:c r="C25" s="15" t="inlineStr">
        <ns0:is>
          <ns0:t xml:space="preserve">铁氧体磁珠</ns0:t>
        </ns0:is>
      </ns0:c>
      <ns0:c r="D25" s="16" t="inlineStr">
        <ns0:is>
          <ns0:t xml:space="preserve">600 Ω @100 MHz，1.5 A，1206（BLM31PG601SN1L），扬声器输出线</ns0:t>
        </ns0:is>
      </ns0:c>
      <ns0:c r="E25" s="17" t="inlineStr">
        <ns0:is>
          <ns0:t xml:space="preserve">Murata</ns0:t>
        </ns0:is>
      </ns0:c>
      <ns0:c r="F25" s="17" t="inlineStr">
        <ns0:is>
          <ns0:t xml:space="preserve">BLM31PG601SN1L</ns0:t>
        </ns0:is>
      </ns0:c>
      <ns0:c r="G25" s="17" t="inlineStr">
        <ns0:is>
          <ns0:t xml:space="preserve">C16902</ns0:t>
        </ns0:is>
      </ns0:c>
      <ns0:c r="H25" s="16" t="inlineStr">
        <ns0:is>
          <ns0:t xml:space="preserve">L1, L2</ns0:t>
        </ns0:is>
      </ns0:c>
      <ns0:c r="I25" s="17" t="inlineStr">
        <ns0:is>
          <ns0:t xml:space="preserve">电子元件（SMT）</ns0:t>
        </ns0:is>
      </ns0:c>
      <ns0:c r="J25" s="17" t="inlineStr">
        <ns0:is>
          <ns0:t xml:space="preserve">JLCPCB 贴片</ns0:t>
        </ns0:is>
      </ns0:c>
      <ns0:c r="K25" s="14" t="inlineStr">
        <ns0:is>
          <ns0:t xml:space="preserve">个</ns0:t>
        </ns0:is>
      </ns0:c>
      <ns0:c r="L25" s="18" t="n">
        <ns0:v>2</ns0:v>
      </ns0:c>
      <ns0:c r="M25" s="19" t="n">
        <ns0:f>M3*L25</ns0:f>
        <ns0:v>2</ns0:v>
      </ns0:c>
      <ns0:c r="N25" s="14" t="inlineStr">
        <ns0:is>
          <ns0:t xml:space="preserve">已确定</ns0:t>
        </ns0:is>
      </ns0:c>
      <ns0:c r="O25" s="16" t="inlineStr">
        <ns0:is>
          <ns0:t xml:space="preserve">与设计型号一致。</ns0:t>
        </ns0:is>
      </ns0:c>
    </ns0:row>
    <ns0:row r="26" outlineLevel="2">
      <ns0:c r="A26" s="14" t="n">
        <ns0:v>2</ns0:v>
      </ns0:c>
      <ns0:c r="B26" s="14" t="inlineStr">
        <ns0:is>
          <ns0:t xml:space="preserve">1.1.23</ns0:t>
        </ns0:is>
      </ns0:c>
      <ns0:c r="C26" s="15" t="inlineStr">
        <ns0:is>
          <ns0:t xml:space="preserve">功率电感 4.7 µH</ns0:t>
        </ns0:is>
      </ns0:c>
      <ns0:c r="D26" s="16" t="inlineStr">
        <ns0:is>
          <ns0:t xml:space="preserve">2016 封装（WPN201610U4R7MT），降压电感</ns0:t>
        </ns0:is>
      </ns0:c>
      <ns0:c r="E26" s="17" t="inlineStr">
        <ns0:is>
          <ns0:t xml:space="preserve">Sunlord</ns0:t>
        </ns0:is>
      </ns0:c>
      <ns0:c r="F26" s="17" t="inlineStr">
        <ns0:is>
          <ns0:t xml:space="preserve">WPN201610U4R7MT</ns0:t>
        </ns0:is>
      </ns0:c>
      <ns0:c r="G26" s="17" t="inlineStr">
        <ns0:is>
          <ns0:t xml:space="preserve">C97018</ns0:t>
        </ns0:is>
      </ns0:c>
      <ns0:c r="H26" s="16" t="inlineStr">
        <ns0:is>
          <ns0:t xml:space="preserve">L3</ns0:t>
        </ns0:is>
      </ns0:c>
      <ns0:c r="I26" s="17" t="inlineStr">
        <ns0:is>
          <ns0:t xml:space="preserve">电子元件（SMT）</ns0:t>
        </ns0:is>
      </ns0:c>
      <ns0:c r="J26" s="17" t="inlineStr">
        <ns0:is>
          <ns0:t xml:space="preserve">JLCPCB 贴片</ns0:t>
        </ns0:is>
      </ns0:c>
      <ns0:c r="K26" s="14" t="inlineStr">
        <ns0:is>
          <ns0:t xml:space="preserve">个</ns0:t>
        </ns0:is>
      </ns0:c>
      <ns0:c r="L26" s="18" t="n">
        <ns0:v>1</ns0:v>
      </ns0:c>
      <ns0:c r="M26" s="19" t="n">
        <ns0:f>M3*L26</ns0:f>
        <ns0:v>1</ns0:v>
      </ns0:c>
      <ns0:c r="N26" s="14" t="inlineStr">
        <ns0:is>
          <ns0:t xml:space="preserve">已确定</ns0:t>
        </ns0:is>
      </ns0:c>
      <ns0:c r="O26" s="16" t="inlineStr">
        <ns0:is>
          <ns0:t xml:space="preserve">与设计型号一致。</ns0:t>
        </ns0:is>
      </ns0:c>
    </ns0:row>
    <ns0:row r="27" outlineLevel="2">
      <ns0:c r="A27" s="14" t="n">
        <ns0:v>2</ns0:v>
      </ns0:c>
      <ns0:c r="B27" s="14" t="inlineStr">
        <ns0:is>
          <ns0:t xml:space="preserve">1.1.24</ns0:t>
        </ns0:is>
      </ns0:c>
      <ns0:c r="C27" s="15" t="inlineStr">
        <ns0:is>
          <ns0:t xml:space="preserve">功率电感 2.2 µH</ns0:t>
        </ns0:is>
      </ns0:c>
      <ns0:c r="D27" s="16" t="inlineStr">
        <ns0:is>
          <ns0:t xml:space="preserve">2016 封装（DFE201612E-2R2M=P2）</ns0:t>
        </ns0:is>
      </ns0:c>
      <ns0:c r="E27" s="17" t="inlineStr">
        <ns0:is>
          <ns0:t xml:space="preserve">Murata</ns0:t>
        </ns0:is>
      </ns0:c>
      <ns0:c r="F27" s="17" t="inlineStr">
        <ns0:is>
          <ns0:t xml:space="preserve">DFE201612E-2R2M=P2</ns0:t>
        </ns0:is>
      </ns0:c>
      <ns0:c r="G27" s="17" t="inlineStr">
        <ns0:is>
          <ns0:t xml:space="preserve">C337893</ns0:t>
        </ns0:is>
      </ns0:c>
      <ns0:c r="H27" s="16" t="inlineStr">
        <ns0:is>
          <ns0:t xml:space="preserve">L4, L5</ns0:t>
        </ns0:is>
      </ns0:c>
      <ns0:c r="I27" s="17" t="inlineStr">
        <ns0:is>
          <ns0:t xml:space="preserve">电子元件（SMT）</ns0:t>
        </ns0:is>
      </ns0:c>
      <ns0:c r="J27" s="17" t="inlineStr">
        <ns0:is>
          <ns0:t xml:space="preserve">JLCPCB 贴片</ns0:t>
        </ns0:is>
      </ns0:c>
      <ns0:c r="K27" s="14" t="inlineStr">
        <ns0:is>
          <ns0:t xml:space="preserve">个</ns0:t>
        </ns0:is>
      </ns0:c>
      <ns0:c r="L27" s="18" t="n">
        <ns0:v>2</ns0:v>
      </ns0:c>
      <ns0:c r="M27" s="19" t="n">
        <ns0:f>M3*L27</ns0:f>
        <ns0:v>2</ns0:v>
      </ns0:c>
      <ns0:c r="N27" s="14" t="inlineStr">
        <ns0:is>
          <ns0:t xml:space="preserve">已确定</ns0:t>
        </ns0:is>
      </ns0:c>
      <ns0:c r="O27" s="16" t="inlineStr">
        <ns0:is>
          <ns0:t xml:space="preserve">与设计型号一致。</ns0:t>
        </ns0:is>
      </ns0:c>
    </ns0:row>
    <ns0:row r="28" outlineLevel="2">
      <ns0:c r="A28" s="14" t="n">
        <ns0:v>2</ns0:v>
      </ns0:c>
      <ns0:c r="B28" s="14" t="inlineStr">
        <ns0:is>
          <ns0:t xml:space="preserve">1.1.25</ns0:t>
        </ns0:is>
      </ns0:c>
      <ns0:c r="C28" s="15" t="inlineStr">
        <ns0:is>
          <ns0:t xml:space="preserve">PDM 数字麦克风</ns0:t>
        </ns0:is>
      </ns0:c>
      <ns0:c r="D28" s="16" t="inlineStr">
        <ns0:is>
          <ns0:t xml:space="preserve">MP34DT05TR-A，顶部进音，HCLGA 3×4 mm；B 面，装于壳体声柱内</ns0:t>
        </ns0:is>
      </ns0:c>
      <ns0:c r="E28" s="17" t="inlineStr">
        <ns0:is>
          <ns0:t xml:space="preserve">STMicroelectronics</ns0:t>
        </ns0:is>
      </ns0:c>
      <ns0:c r="F28" s="17" t="inlineStr">
        <ns0:is>
          <ns0:t xml:space="preserve">MP34DT05TR-A</ns0:t>
        </ns0:is>
      </ns0:c>
      <ns0:c r="G28" s="17" t="inlineStr">
        <ns0:is>
          <ns0:t xml:space="preserve">C2688664</ns0:t>
        </ns0:is>
      </ns0:c>
      <ns0:c r="H28" s="16" t="inlineStr">
        <ns0:is>
          <ns0:t xml:space="preserve">MK1</ns0:t>
        </ns0:is>
      </ns0:c>
      <ns0:c r="I28" s="17" t="inlineStr">
        <ns0:is>
          <ns0:t xml:space="preserve">电子元件（SMT）</ns0:t>
        </ns0:is>
      </ns0:c>
      <ns0:c r="J28" s="17" t="inlineStr">
        <ns0:is>
          <ns0:t xml:space="preserve">JLCPCB 贴片</ns0:t>
        </ns0:is>
      </ns0:c>
      <ns0:c r="K28" s="14" t="inlineStr">
        <ns0:is>
          <ns0:t xml:space="preserve">个</ns0:t>
        </ns0:is>
      </ns0:c>
      <ns0:c r="L28" s="18" t="n">
        <ns0:v>1</ns0:v>
      </ns0:c>
      <ns0:c r="M28" s="19" t="n">
        <ns0:f>M3*L28</ns0:f>
        <ns0:v>1</ns0:v>
      </ns0:c>
      <ns0:c r="N28" s="14" t="inlineStr">
        <ns0:is>
          <ns0:t xml:space="preserve">已确定</ns0:t>
        </ns0:is>
      </ns0:c>
      <ns0:c r="O28" s="16" t="inlineStr">
        <ns0:is>
          <ns0:t xml:space="preserve">与设计型号一致（扩展库）。2026-09-23 LCSC 约 577 件。B 面安装，进音孔朝壳体声孔。</ns0:t>
        </ns0:is>
      </ns0:c>
    </ns0:row>
    <ns0:row r="29" outlineLevel="2">
      <ns0:c r="A29" s="14" t="n">
        <ns0:v>2</ns0:v>
      </ns0:c>
      <ns0:c r="B29" s="14" t="inlineStr">
        <ns0:is>
          <ns0:t xml:space="preserve">1.1.26</ns0:t>
        </ns0:is>
      </ns0:c>
      <ns0:c r="C29" s="15" t="inlineStr">
        <ns0:is>
          <ns0:t xml:space="preserve">贴片电阻 1kΩ 0402</ns0:t>
        </ns0:is>
      </ns0:c>
      <ns0:c r="D29" s="16" t="inlineStr">
        <ns0:is>
          <ns0:t xml:space="preserve">1kΩ，1%，0402</ns0:t>
        </ns0:is>
      </ns0:c>
      <ns0:c r="E29" s="17" t="inlineStr">
        <ns0:is>
          <ns0:t xml:space="preserve">UniOhm</ns0:t>
        </ns0:is>
      </ns0:c>
      <ns0:c r="F29" s="17" t="inlineStr">
        <ns0:is>
          <ns0:t xml:space="preserve">0402WGF1001TCE</ns0:t>
        </ns0:is>
      </ns0:c>
      <ns0:c r="G29" s="17" t="inlineStr">
        <ns0:is>
          <ns0:t xml:space="preserve">C11702</ns0:t>
        </ns0:is>
      </ns0:c>
      <ns0:c r="H29" s="16" t="inlineStr">
        <ns0:is>
          <ns0:t xml:space="preserve">R1, R2, R8, R20, R21, R22, R23, R24, R25, R26, R27, R35</ns0:t>
        </ns0:is>
      </ns0:c>
      <ns0:c r="I29" s="17" t="inlineStr">
        <ns0:is>
          <ns0:t xml:space="preserve">电子元件（SMT）</ns0:t>
        </ns0:is>
      </ns0:c>
      <ns0:c r="J29" s="17" t="inlineStr">
        <ns0:is>
          <ns0:t xml:space="preserve">JLCPCB 贴片</ns0:t>
        </ns0:is>
      </ns0:c>
      <ns0:c r="K29" s="14" t="inlineStr">
        <ns0:is>
          <ns0:t xml:space="preserve">个</ns0:t>
        </ns0:is>
      </ns0:c>
      <ns0:c r="L29" s="18" t="n">
        <ns0:v>12</ns0:v>
      </ns0:c>
      <ns0:c r="M29" s="19" t="n">
        <ns0:f>M3*L29</ns0:f>
        <ns0:v>12</ns0:v>
      </ns0:c>
      <ns0:c r="N29" s="14" t="inlineStr">
        <ns0:is>
          <ns0:t xml:space="preserve">已确定</ns0:t>
        </ns0:is>
      </ns0:c>
      <ns0:c r="O29" s="16" t="inlineStr">
        <ns0:is>
          <ns0:t xml:space="preserve">设计型号 Yageo RC0402FR-071KL。JLC 基础库替代 UniOhm，规格相同。</ns0:t>
        </ns0:is>
      </ns0:c>
    </ns0:row>
    <ns0:row r="30" outlineLevel="2">
      <ns0:c r="A30" s="14" t="n">
        <ns0:v>2</ns0:v>
      </ns0:c>
      <ns0:c r="B30" s="14" t="inlineStr">
        <ns0:is>
          <ns0:t xml:space="preserve">1.1.27</ns0:t>
        </ns0:is>
      </ns0:c>
      <ns0:c r="C30" s="15" t="inlineStr">
        <ns0:is>
          <ns0:t xml:space="preserve">贴片电阻 100kΩ 0402</ns0:t>
        </ns0:is>
      </ns0:c>
      <ns0:c r="D30" s="16" t="inlineStr">
        <ns0:is>
          <ns0:t xml:space="preserve">100kΩ，1%，0402</ns0:t>
        </ns0:is>
      </ns0:c>
      <ns0:c r="E30" s="17" t="inlineStr">
        <ns0:is>
          <ns0:t xml:space="preserve">UniOhm</ns0:t>
        </ns0:is>
      </ns0:c>
      <ns0:c r="F30" s="17" t="inlineStr">
        <ns0:is>
          <ns0:t xml:space="preserve">0402WGF1003TCE</ns0:t>
        </ns0:is>
      </ns0:c>
      <ns0:c r="G30" s="17" t="inlineStr">
        <ns0:is>
          <ns0:t xml:space="preserve">C25741</ns0:t>
        </ns0:is>
      </ns0:c>
      <ns0:c r="H30" s="16" t="inlineStr">
        <ns0:is>
          <ns0:t xml:space="preserve">R3, R7, R12, R13, R14, R15, R16, R17, R18, R19, R30, R41</ns0:t>
        </ns0:is>
      </ns0:c>
      <ns0:c r="I30" s="17" t="inlineStr">
        <ns0:is>
          <ns0:t xml:space="preserve">电子元件（SMT）</ns0:t>
        </ns0:is>
      </ns0:c>
      <ns0:c r="J30" s="17" t="inlineStr">
        <ns0:is>
          <ns0:t xml:space="preserve">JLCPCB 贴片</ns0:t>
        </ns0:is>
      </ns0:c>
      <ns0:c r="K30" s="14" t="inlineStr">
        <ns0:is>
          <ns0:t xml:space="preserve">个</ns0:t>
        </ns0:is>
      </ns0:c>
      <ns0:c r="L30" s="18" t="n">
        <ns0:v>12</ns0:v>
      </ns0:c>
      <ns0:c r="M30" s="19" t="n">
        <ns0:f>M3*L30</ns0:f>
        <ns0:v>12</ns0:v>
      </ns0:c>
      <ns0:c r="N30" s="14" t="inlineStr">
        <ns0:is>
          <ns0:t xml:space="preserve">已确定</ns0:t>
        </ns0:is>
      </ns0:c>
      <ns0:c r="O30" s="16" t="inlineStr">
        <ns0:is>
          <ns0:t xml:space="preserve">设计型号 Yageo RC0402FR-07100KL。JLC 基础库替代 UniOhm，规格相同。</ns0:t>
        </ns0:is>
      </ns0:c>
    </ns0:row>
    <ns0:row r="31" outlineLevel="2">
      <ns0:c r="A31" s="14" t="n">
        <ns0:v>2</ns0:v>
      </ns0:c>
      <ns0:c r="B31" s="14" t="inlineStr">
        <ns0:is>
          <ns0:t xml:space="preserve">1.1.28</ns0:t>
        </ns0:is>
      </ns0:c>
      <ns0:c r="C31" s="15" t="inlineStr">
        <ns0:is>
          <ns0:t xml:space="preserve">贴片电阻 22kΩ 0402</ns0:t>
        </ns0:is>
      </ns0:c>
      <ns0:c r="D31" s="16" t="inlineStr">
        <ns0:is>
          <ns0:t xml:space="preserve">22kΩ，1%，0402</ns0:t>
        </ns0:is>
      </ns0:c>
      <ns0:c r="E31" s="17" t="inlineStr">
        <ns0:is>
          <ns0:t xml:space="preserve">UniOhm</ns0:t>
        </ns0:is>
      </ns0:c>
      <ns0:c r="F31" s="17" t="inlineStr">
        <ns0:is>
          <ns0:t xml:space="preserve">0402WGF2202TCE</ns0:t>
        </ns0:is>
      </ns0:c>
      <ns0:c r="G31" s="17" t="inlineStr">
        <ns0:is>
          <ns0:t xml:space="preserve">C25768</ns0:t>
        </ns0:is>
      </ns0:c>
      <ns0:c r="H31" s="16" t="inlineStr">
        <ns0:is>
          <ns0:t xml:space="preserve">R4, R5</ns0:t>
        </ns0:is>
      </ns0:c>
      <ns0:c r="I31" s="17" t="inlineStr">
        <ns0:is>
          <ns0:t xml:space="preserve">电子元件（SMT）</ns0:t>
        </ns0:is>
      </ns0:c>
      <ns0:c r="J31" s="17" t="inlineStr">
        <ns0:is>
          <ns0:t xml:space="preserve">JLCPCB 贴片</ns0:t>
        </ns0:is>
      </ns0:c>
      <ns0:c r="K31" s="14" t="inlineStr">
        <ns0:is>
          <ns0:t xml:space="preserve">个</ns0:t>
        </ns0:is>
      </ns0:c>
      <ns0:c r="L31" s="18" t="n">
        <ns0:v>2</ns0:v>
      </ns0:c>
      <ns0:c r="M31" s="19" t="n">
        <ns0:f>M3*L31</ns0:f>
        <ns0:v>2</ns0:v>
      </ns0:c>
      <ns0:c r="N31" s="14" t="inlineStr">
        <ns0:is>
          <ns0:t xml:space="preserve">已确定</ns0:t>
        </ns0:is>
      </ns0:c>
      <ns0:c r="O31" s="16" t="inlineStr">
        <ns0:is>
          <ns0:t xml:space="preserve">设计型号 Yageo RC0402FR-0722KL。JLC 基础库替代 UniOhm，规格相同；沿用 r6 的 22k。</ns0:t>
        </ns0:is>
      </ns0:c>
    </ns0:row>
    <ns0:row r="32" outlineLevel="2">
      <ns0:c r="A32" s="14" t="n">
        <ns0:v>2</ns0:v>
      </ns0:c>
      <ns0:c r="B32" s="14" t="inlineStr">
        <ns0:is>
          <ns0:t xml:space="preserve">1.1.29</ns0:t>
        </ns0:is>
      </ns0:c>
      <ns0:c r="C32" s="15" t="inlineStr">
        <ns0:is>
          <ns0:t xml:space="preserve">贴片电阻 22Ω 0402</ns0:t>
        </ns0:is>
      </ns0:c>
      <ns0:c r="D32" s="16" t="inlineStr">
        <ns0:is>
          <ns0:t xml:space="preserve">22Ω，1%，0402</ns0:t>
        </ns0:is>
      </ns0:c>
      <ns0:c r="E32" s="17" t="inlineStr">
        <ns0:is>
          <ns0:t xml:space="preserve">UniOhm</ns0:t>
        </ns0:is>
      </ns0:c>
      <ns0:c r="F32" s="17" t="inlineStr">
        <ns0:is>
          <ns0:t xml:space="preserve">0402WGF220JTCE</ns0:t>
        </ns0:is>
      </ns0:c>
      <ns0:c r="G32" s="17" t="inlineStr">
        <ns0:is>
          <ns0:t xml:space="preserve">C25092</ns0:t>
        </ns0:is>
      </ns0:c>
      <ns0:c r="H32" s="16" t="inlineStr">
        <ns0:is>
          <ns0:t xml:space="preserve">R6</ns0:t>
        </ns0:is>
      </ns0:c>
      <ns0:c r="I32" s="17" t="inlineStr">
        <ns0:is>
          <ns0:t xml:space="preserve">电子元件（SMT）</ns0:t>
        </ns0:is>
      </ns0:c>
      <ns0:c r="J32" s="17" t="inlineStr">
        <ns0:is>
          <ns0:t xml:space="preserve">JLCPCB 贴片</ns0:t>
        </ns0:is>
      </ns0:c>
      <ns0:c r="K32" s="14" t="inlineStr">
        <ns0:is>
          <ns0:t xml:space="preserve">个</ns0:t>
        </ns0:is>
      </ns0:c>
      <ns0:c r="L32" s="18" t="n">
        <ns0:v>1</ns0:v>
      </ns0:c>
      <ns0:c r="M32" s="19" t="n">
        <ns0:f>M3*L32</ns0:f>
        <ns0:v>1</ns0:v>
      </ns0:c>
      <ns0:c r="N32" s="14" t="inlineStr">
        <ns0:is>
          <ns0:t xml:space="preserve">已确定</ns0:t>
        </ns0:is>
      </ns0:c>
      <ns0:c r="O32" s="16" t="inlineStr">
        <ns0:is>
          <ns0:t xml:space="preserve">设计型号 Yageo RC0402FR-0722RL。JLC 基础库替代（22 Ω）。</ns0:t>
        </ns0:is>
      </ns0:c>
    </ns0:row>
    <ns0:row r="33" outlineLevel="2">
      <ns0:c r="A33" s="14" t="n">
        <ns0:v>2</ns0:v>
      </ns0:c>
      <ns0:c r="B33" s="14" t="inlineStr">
        <ns0:is>
          <ns0:t xml:space="preserve">1.1.30</ns0:t>
        </ns0:is>
      </ns0:c>
      <ns0:c r="C33" s="15" t="inlineStr">
        <ns0:is>
          <ns0:t xml:space="preserve">贴片电阻 1MΩ 0402</ns0:t>
        </ns0:is>
      </ns0:c>
      <ns0:c r="D33" s="16" t="inlineStr">
        <ns0:is>
          <ns0:t xml:space="preserve">1MΩ，1%，0402</ns0:t>
        </ns0:is>
      </ns0:c>
      <ns0:c r="E33" s="17" t="inlineStr">
        <ns0:is>
          <ns0:t xml:space="preserve">UniOhm</ns0:t>
        </ns0:is>
      </ns0:c>
      <ns0:c r="F33" s="17" t="inlineStr">
        <ns0:is>
          <ns0:t xml:space="preserve">0402WGF1004TCE</ns0:t>
        </ns0:is>
      </ns0:c>
      <ns0:c r="G33" s="17" t="inlineStr">
        <ns0:is>
          <ns0:t xml:space="preserve">C26083</ns0:t>
        </ns0:is>
      </ns0:c>
      <ns0:c r="H33" s="16" t="inlineStr">
        <ns0:is>
          <ns0:t xml:space="preserve">R9, R34, R36, R39, R42</ns0:t>
        </ns0:is>
      </ns0:c>
      <ns0:c r="I33" s="17" t="inlineStr">
        <ns0:is>
          <ns0:t xml:space="preserve">电子元件（SMT）</ns0:t>
        </ns0:is>
      </ns0:c>
      <ns0:c r="J33" s="17" t="inlineStr">
        <ns0:is>
          <ns0:t xml:space="preserve">JLCPCB 贴片</ns0:t>
        </ns0:is>
      </ns0:c>
      <ns0:c r="K33" s="14" t="inlineStr">
        <ns0:is>
          <ns0:t xml:space="preserve">个</ns0:t>
        </ns0:is>
      </ns0:c>
      <ns0:c r="L33" s="18" t="n">
        <ns0:v>5</ns0:v>
      </ns0:c>
      <ns0:c r="M33" s="19" t="n">
        <ns0:f>M3*L33</ns0:f>
        <ns0:v>5</ns0:v>
      </ns0:c>
      <ns0:c r="N33" s="14" t="inlineStr">
        <ns0:is>
          <ns0:t xml:space="preserve">已确定</ns0:t>
        </ns0:is>
      </ns0:c>
      <ns0:c r="O33" s="16" t="inlineStr">
        <ns0:is>
          <ns0:t xml:space="preserve">设计型号 Yageo RC0402FR-071ML。JLC 基础库替代 UniOhm，规格相同。</ns0:t>
        </ns0:is>
      </ns0:c>
    </ns0:row>
    <ns0:row r="34" outlineLevel="2">
      <ns0:c r="A34" s="14" t="n">
        <ns0:v>2</ns0:v>
      </ns0:c>
      <ns0:c r="B34" s="14" t="inlineStr">
        <ns0:is>
          <ns0:t xml:space="preserve">1.1.31</ns0:t>
        </ns0:is>
      </ns0:c>
      <ns0:c r="C34" s="15" t="inlineStr">
        <ns0:is>
          <ns0:t xml:space="preserve">贴片电阻 5.1kΩ 0402</ns0:t>
        </ns0:is>
      </ns0:c>
      <ns0:c r="D34" s="16" t="inlineStr">
        <ns0:is>
          <ns0:t xml:space="preserve">5.1kΩ，1%，0402</ns0:t>
        </ns0:is>
      </ns0:c>
      <ns0:c r="E34" s="17" t="inlineStr">
        <ns0:is>
          <ns0:t xml:space="preserve">UniOhm</ns0:t>
        </ns0:is>
      </ns0:c>
      <ns0:c r="F34" s="17" t="inlineStr">
        <ns0:is>
          <ns0:t xml:space="preserve">0402WGF5101TCE</ns0:t>
        </ns0:is>
      </ns0:c>
      <ns0:c r="G34" s="17" t="inlineStr">
        <ns0:is>
          <ns0:t xml:space="preserve">C25905</ns0:t>
        </ns0:is>
      </ns0:c>
      <ns0:c r="H34" s="16" t="inlineStr">
        <ns0:is>
          <ns0:t xml:space="preserve">R10, R11</ns0:t>
        </ns0:is>
      </ns0:c>
      <ns0:c r="I34" s="17" t="inlineStr">
        <ns0:is>
          <ns0:t xml:space="preserve">电子元件（SMT）</ns0:t>
        </ns0:is>
      </ns0:c>
      <ns0:c r="J34" s="17" t="inlineStr">
        <ns0:is>
          <ns0:t xml:space="preserve">JLCPCB 贴片</ns0:t>
        </ns0:is>
      </ns0:c>
      <ns0:c r="K34" s="14" t="inlineStr">
        <ns0:is>
          <ns0:t xml:space="preserve">个</ns0:t>
        </ns0:is>
      </ns0:c>
      <ns0:c r="L34" s="18" t="n">
        <ns0:v>2</ns0:v>
      </ns0:c>
      <ns0:c r="M34" s="19" t="n">
        <ns0:f>M3*L34</ns0:f>
        <ns0:v>2</ns0:v>
      </ns0:c>
      <ns0:c r="N34" s="14" t="inlineStr">
        <ns0:is>
          <ns0:t xml:space="preserve">已确定</ns0:t>
        </ns0:is>
      </ns0:c>
      <ns0:c r="O34" s="16" t="inlineStr">
        <ns0:is>
          <ns0:t xml:space="preserve">设计型号 Yageo RC0402FR-075K1L。JLC 基础库替代 UniOhm，规格相同。</ns0:t>
        </ns0:is>
      </ns0:c>
    </ns0:row>
    <ns0:row r="35" outlineLevel="2">
      <ns0:c r="A35" s="14" t="n">
        <ns0:v>2</ns0:v>
      </ns0:c>
      <ns0:c r="B35" s="14" t="inlineStr">
        <ns0:is>
          <ns0:t xml:space="preserve">1.1.32</ns0:t>
        </ns0:is>
      </ns0:c>
      <ns0:c r="C35" s="15" t="inlineStr">
        <ns0:is>
          <ns0:t xml:space="preserve">贴片电阻 10kΩ 0402</ns0:t>
        </ns0:is>
      </ns0:c>
      <ns0:c r="D35" s="16" t="inlineStr">
        <ns0:is>
          <ns0:t xml:space="preserve">10kΩ，1%，0402</ns0:t>
        </ns0:is>
      </ns0:c>
      <ns0:c r="E35" s="17" t="inlineStr">
        <ns0:is>
          <ns0:t xml:space="preserve">UniOhm</ns0:t>
        </ns0:is>
      </ns0:c>
      <ns0:c r="F35" s="17" t="inlineStr">
        <ns0:is>
          <ns0:t xml:space="preserve">0402WGF1002TCE</ns0:t>
        </ns0:is>
      </ns0:c>
      <ns0:c r="G35" s="17" t="inlineStr">
        <ns0:is>
          <ns0:t xml:space="preserve">C25744</ns0:t>
        </ns0:is>
      </ns0:c>
      <ns0:c r="H35" s="16" t="inlineStr">
        <ns0:is>
          <ns0:t xml:space="preserve">R28, R29</ns0:t>
        </ns0:is>
      </ns0:c>
      <ns0:c r="I35" s="17" t="inlineStr">
        <ns0:is>
          <ns0:t xml:space="preserve">电子元件（SMT）</ns0:t>
        </ns0:is>
      </ns0:c>
      <ns0:c r="J35" s="17" t="inlineStr">
        <ns0:is>
          <ns0:t xml:space="preserve">JLCPCB 贴片</ns0:t>
        </ns0:is>
      </ns0:c>
      <ns0:c r="K35" s="14" t="inlineStr">
        <ns0:is>
          <ns0:t xml:space="preserve">个</ns0:t>
        </ns0:is>
      </ns0:c>
      <ns0:c r="L35" s="18" t="n">
        <ns0:v>2</ns0:v>
      </ns0:c>
      <ns0:c r="M35" s="19" t="n">
        <ns0:f>M3*L35</ns0:f>
        <ns0:v>2</ns0:v>
      </ns0:c>
      <ns0:c r="N35" s="14" t="inlineStr">
        <ns0:is>
          <ns0:t xml:space="preserve">已确定</ns0:t>
        </ns0:is>
      </ns0:c>
      <ns0:c r="O35" s="16" t="inlineStr">
        <ns0:is>
          <ns0:t xml:space="preserve">设计型号 Yageo RC0402FR-0710KL。JLC 基础库替代 UniOhm，规格相同；I²C 上拉。</ns0:t>
        </ns0:is>
      </ns0:c>
    </ns0:row>
    <ns0:row r="36" outlineLevel="2">
      <ns0:c r="A36" s="14" t="n">
        <ns0:v>2</ns0:v>
      </ns0:c>
      <ns0:c r="B36" s="14" t="inlineStr">
        <ns0:is>
          <ns0:t xml:space="preserve">1.1.33</ns0:t>
        </ns0:is>
      </ns0:c>
      <ns0:c r="C36" s="15" t="inlineStr">
        <ns0:is>
          <ns0:t xml:space="preserve">贴片电阻 86.6kΩ 0402</ns0:t>
        </ns0:is>
      </ns0:c>
      <ns0:c r="D36" s="16" t="inlineStr">
        <ns0:is>
          <ns0:t xml:space="preserve">86.6kΩ，1%，0402</ns0:t>
        </ns0:is>
      </ns0:c>
      <ns0:c r="E36" s="17" t="inlineStr">
        <ns0:is>
          <ns0:t xml:space="preserve">Yageo</ns0:t>
        </ns0:is>
      </ns0:c>
      <ns0:c r="F36" s="17" t="inlineStr">
        <ns0:is>
          <ns0:t xml:space="preserve">RC0402FR-0786K6L</ns0:t>
        </ns0:is>
      </ns0:c>
      <ns0:c r="G36" s="17" t="inlineStr">
        <ns0:is>
          <ns0:t xml:space="preserve">C477807</ns0:t>
        </ns0:is>
      </ns0:c>
      <ns0:c r="H36" s="16" t="inlineStr">
        <ns0:is>
          <ns0:t xml:space="preserve">R31</ns0:t>
        </ns0:is>
      </ns0:c>
      <ns0:c r="I36" s="17" t="inlineStr">
        <ns0:is>
          <ns0:t xml:space="preserve">电子元件（SMT）</ns0:t>
        </ns0:is>
      </ns0:c>
      <ns0:c r="J36" s="17" t="inlineStr">
        <ns0:is>
          <ns0:t xml:space="preserve">JLCPCB 贴片</ns0:t>
        </ns0:is>
      </ns0:c>
      <ns0:c r="K36" s="14" t="inlineStr">
        <ns0:is>
          <ns0:t xml:space="preserve">个</ns0:t>
        </ns0:is>
      </ns0:c>
      <ns0:c r="L36" s="18" t="n">
        <ns0:v>1</ns0:v>
      </ns0:c>
      <ns0:c r="M36" s="19" t="n">
        <ns0:f>M3*L36</ns0:f>
        <ns0:v>1</ns0:v>
      </ns0:c>
      <ns0:c r="N36" s="14" t="inlineStr">
        <ns0:is>
          <ns0:t xml:space="preserve">已确定</ns0:t>
        </ns0:is>
      </ns0:c>
      <ns0:c r="O36" s="16" t="inlineStr">
        <ns0:is>
          <ns0:t xml:space="preserve">与设计型号一致。</ns0:t>
        </ns0:is>
      </ns0:c>
    </ns0:row>
    <ns0:row r="37" outlineLevel="2">
      <ns0:c r="A37" s="14" t="n">
        <ns0:v>2</ns0:v>
      </ns0:c>
      <ns0:c r="B37" s="14" t="inlineStr">
        <ns0:is>
          <ns0:t xml:space="preserve">1.1.34</ns0:t>
        </ns0:is>
      </ns0:c>
      <ns0:c r="C37" s="15" t="inlineStr">
        <ns0:is>
          <ns0:t xml:space="preserve">贴片电阻 604kΩ 0402</ns0:t>
        </ns0:is>
      </ns0:c>
      <ns0:c r="D37" s="16" t="inlineStr">
        <ns0:is>
          <ns0:t xml:space="preserve">604kΩ，1%，0402</ns0:t>
        </ns0:is>
      </ns0:c>
      <ns0:c r="E37" s="17" t="inlineStr">
        <ns0:is>
          <ns0:t xml:space="preserve">Yageo</ns0:t>
        </ns0:is>
      </ns0:c>
      <ns0:c r="F37" s="17" t="inlineStr">
        <ns0:is>
          <ns0:t xml:space="preserve">RC0402FR-07604KL</ns0:t>
        </ns0:is>
      </ns0:c>
      <ns0:c r="G37" s="17" t="inlineStr">
        <ns0:is>
          <ns0:t xml:space="preserve">C327334</ns0:t>
        </ns0:is>
      </ns0:c>
      <ns0:c r="H37" s="16" t="inlineStr">
        <ns0:is>
          <ns0:t xml:space="preserve">R32</ns0:t>
        </ns0:is>
      </ns0:c>
      <ns0:c r="I37" s="17" t="inlineStr">
        <ns0:is>
          <ns0:t xml:space="preserve">电子元件（SMT）</ns0:t>
        </ns0:is>
      </ns0:c>
      <ns0:c r="J37" s="17" t="inlineStr">
        <ns0:is>
          <ns0:t xml:space="preserve">JLCPCB 贴片</ns0:t>
        </ns0:is>
      </ns0:c>
      <ns0:c r="K37" s="14" t="inlineStr">
        <ns0:is>
          <ns0:t xml:space="preserve">个</ns0:t>
        </ns0:is>
      </ns0:c>
      <ns0:c r="L37" s="18" t="n">
        <ns0:v>1</ns0:v>
      </ns0:c>
      <ns0:c r="M37" s="19" t="n">
        <ns0:f>M3*L37</ns0:f>
        <ns0:v>1</ns0:v>
      </ns0:c>
      <ns0:c r="N37" s="20" t="inlineStr">
        <ns0:is>
          <ns0:t xml:space="preserve">待确认</ns0:t>
        </ns0:is>
      </ns0:c>
      <ns0:c r="O37" s="16" t="inlineStr">
        <ns0:is>
          <ns0:t xml:space="preserve">与设计型号一致。LCSC 缺货，JLC 库存偏低，下单前核查。</ns0:t>
        </ns0:is>
      </ns0:c>
    </ns0:row>
    <ns0:row r="38" outlineLevel="2">
      <ns0:c r="A38" s="14" t="n">
        <ns0:v>2</ns0:v>
      </ns0:c>
      <ns0:c r="B38" s="14" t="inlineStr">
        <ns0:is>
          <ns0:t xml:space="preserve">1.1.35</ns0:t>
        </ns0:is>
      </ns0:c>
      <ns0:c r="C38" s="15" t="str">
        <ns0:v>贴片电阻 3.6kΩ 0402</ns0:v>
      </ns0:c>
      <ns0:c r="D38" s="16" t="str">
        <ns0:v>3.6kΩ，1%，0402</ns0:v>
      </ns0:c>
      <ns0:c r="E38" s="17" t="inlineStr">
        <ns0:is>
          <ns0:t xml:space="preserve">Yageo</ns0:t>
        </ns0:is>
      </ns0:c>
      <ns0:c r="F38" s="17" t="str">
        <ns0:v>RC0402FR-073K6L</ns0:v>
      </ns0:c>
      <ns0:c r="G38" s="17" t="str">
        <ns0:v>C137990</ns0:v>
      </ns0:c>
      <ns0:c r="H38" s="16" t="inlineStr">
        <ns0:is>
          <ns0:t xml:space="preserve">R37</ns0:t>
        </ns0:is>
      </ns0:c>
      <ns0:c r="I38" s="17" t="inlineStr">
        <ns0:is>
          <ns0:t xml:space="preserve">电子元件（SMT）</ns0:t>
        </ns0:is>
      </ns0:c>
      <ns0:c r="J38" s="17" t="inlineStr">
        <ns0:is>
          <ns0:t xml:space="preserve">JLCPCB 贴片</ns0:t>
        </ns0:is>
      </ns0:c>
      <ns0:c r="K38" s="14" t="inlineStr">
        <ns0:is>
          <ns0:t xml:space="preserve">个</ns0:t>
        </ns0:is>
      </ns0:c>
      <ns0:c r="L38" s="18" t="n">
        <ns0:v>1</ns0:v>
      </ns0:c>
      <ns0:c r="M38" s="19" t="n">
        <ns0:f>M3*L38</ns0:f>
        <ns0:v>1</ns0:v>
      </ns0:c>
      <ns0:c r="N38" s="14" t="inlineStr">
        <ns0:is>
          <ns0:t xml:space="preserve">已确定</ns0:t>
        </ns0:is>
      </ns0:c>
      <ns0:c r="O38" s="16" t="str">
        <ns0:v>与设计型号一致。R37 改为 3.6k（RC0402FR-073K6L，C137990），设定 BQ24073 充电电流：890/3.6k ≈ 247 mA，为 500 mAh 电芯的约 0.5C。</ns0:v>
      </ns0:c>
    </ns0:row>
    <ns0:row r="39" outlineLevel="2">
      <ns0:c r="A39" s="14" t="n">
        <ns0:v>2</ns0:v>
      </ns0:c>
      <ns0:c r="B39" s="14" t="inlineStr">
        <ns0:is>
          <ns0:t xml:space="preserve">1.1.36</ns0:t>
        </ns0:is>
      </ns0:c>
      <ns0:c r="C39" s="15" t="inlineStr">
        <ns0:is>
          <ns0:t xml:space="preserve">贴片电阻 3.3kΩ 0402</ns0:t>
        </ns0:is>
      </ns0:c>
      <ns0:c r="D39" s="16" t="inlineStr">
        <ns0:is>
          <ns0:t xml:space="preserve">3.3kΩ，1%，0402</ns0:t>
        </ns0:is>
      </ns0:c>
      <ns0:c r="E39" s="17" t="inlineStr">
        <ns0:is>
          <ns0:t xml:space="preserve">UniOhm</ns0:t>
        </ns0:is>
      </ns0:c>
      <ns0:c r="F39" s="17" t="inlineStr">
        <ns0:is>
          <ns0:t xml:space="preserve">0402WGF3301TCE</ns0:t>
        </ns0:is>
      </ns0:c>
      <ns0:c r="G39" s="17" t="inlineStr">
        <ns0:is>
          <ns0:t xml:space="preserve">C25890</ns0:t>
        </ns0:is>
      </ns0:c>
      <ns0:c r="H39" s="16" t="inlineStr">
        <ns0:is>
          <ns0:t xml:space="preserve">R38</ns0:t>
        </ns0:is>
      </ns0:c>
      <ns0:c r="I39" s="17" t="inlineStr">
        <ns0:is>
          <ns0:t xml:space="preserve">电子元件（SMT）</ns0:t>
        </ns0:is>
      </ns0:c>
      <ns0:c r="J39" s="17" t="inlineStr">
        <ns0:is>
          <ns0:t xml:space="preserve">JLCPCB 贴片</ns0:t>
        </ns0:is>
      </ns0:c>
      <ns0:c r="K39" s="14" t="inlineStr">
        <ns0:is>
          <ns0:t xml:space="preserve">个</ns0:t>
        </ns0:is>
      </ns0:c>
      <ns0:c r="L39" s="18" t="n">
        <ns0:v>1</ns0:v>
      </ns0:c>
      <ns0:c r="M39" s="19" t="n">
        <ns0:f>M3*L39</ns0:f>
        <ns0:v>1</ns0:v>
      </ns0:c>
      <ns0:c r="N39" s="14" t="inlineStr">
        <ns0:is>
          <ns0:t xml:space="preserve">已确定</ns0:t>
        </ns0:is>
      </ns0:c>
      <ns0:c r="O39" s="16" t="inlineStr">
        <ns0:is>
          <ns0:t xml:space="preserve">设计型号 Yageo RC0402FR-073K3L。UniOhm 同规格替代。ILIM 电阻仅在 ILIM 模式起作用，本板运行于 USB500 模式。</ns0:t>
        </ns0:is>
      </ns0:c>
    </ns0:row>
    <ns0:row r="40" outlineLevel="2">
      <ns0:c r="A40" s="14" t="n">
        <ns0:v>2</ns0:v>
      </ns0:c>
      <ns0:c r="B40" s="14" t="inlineStr">
        <ns0:is>
          <ns0:t xml:space="preserve">1.1.37</ns0:t>
        </ns0:is>
      </ns0:c>
      <ns0:c r="C40" s="15" t="inlineStr">
        <ns0:is>
          <ns0:t xml:space="preserve">贴片电阻 0Ω 0402</ns0:t>
        </ns0:is>
      </ns0:c>
      <ns0:c r="D40" s="16" t="inlineStr">
        <ns0:is>
          <ns0:t xml:space="preserve">0Ω，1%，0402</ns0:t>
        </ns0:is>
      </ns0:c>
      <ns0:c r="E40" s="17" t="inlineStr">
        <ns0:is>
          <ns0:t xml:space="preserve">UniOhm</ns0:t>
        </ns0:is>
      </ns0:c>
      <ns0:c r="F40" s="17" t="inlineStr">
        <ns0:is>
          <ns0:t xml:space="preserve">0402WGF0000TCE</ns0:t>
        </ns0:is>
      </ns0:c>
      <ns0:c r="G40" s="17" t="inlineStr">
        <ns0:is>
          <ns0:t xml:space="preserve">C17168</ns0:t>
        </ns0:is>
      </ns0:c>
      <ns0:c r="H40" s="16" t="inlineStr">
        <ns0:is>
          <ns0:t xml:space="preserve">R40, R47</ns0:t>
        </ns0:is>
      </ns0:c>
      <ns0:c r="I40" s="17" t="inlineStr">
        <ns0:is>
          <ns0:t xml:space="preserve">电子元件（SMT）</ns0:t>
        </ns0:is>
      </ns0:c>
      <ns0:c r="J40" s="17" t="inlineStr">
        <ns0:is>
          <ns0:t xml:space="preserve">JLCPCB 贴片</ns0:t>
        </ns0:is>
      </ns0:c>
      <ns0:c r="K40" s="14" t="inlineStr">
        <ns0:is>
          <ns0:t xml:space="preserve">个</ns0:t>
        </ns0:is>
      </ns0:c>
      <ns0:c r="L40" s="18" t="n">
        <ns0:v>2</ns0:v>
      </ns0:c>
      <ns0:c r="M40" s="19" t="n">
        <ns0:f>M3*L40</ns0:f>
        <ns0:v>2</ns0:v>
      </ns0:c>
      <ns0:c r="N40" s="14" t="inlineStr">
        <ns0:is>
          <ns0:t xml:space="preserve">已确定</ns0:t>
        </ns0:is>
      </ns0:c>
      <ns0:c r="O40" s="16" t="inlineStr">
        <ns0:is>
          <ns0:t xml:space="preserve">设计型号 Yageo RC0402JR-070RL。Rev B：天线侧匹配 S1/S2，调谐前为 0 Ω（Johanson 评估值：S1 1.2 pF、S2 3.3 nH）。</ns0:t>
        </ns0:is>
      </ns0:c>
    </ns0:row>
    <ns0:row r="41" outlineLevel="2">
      <ns0:c r="A41" s="14" t="n">
        <ns0:v>2</ns0:v>
      </ns0:c>
      <ns0:c r="B41" s="14" t="inlineStr">
        <ns0:is>
          <ns0:t xml:space="preserve">1.1.38</ns0:t>
        </ns0:is>
      </ns0:c>
      <ns0:c r="C41" s="15" t="inlineStr">
        <ns0:is>
          <ns0:t xml:space="preserve">贴片电阻 180kΩ 0402</ns0:t>
        </ns0:is>
      </ns0:c>
      <ns0:c r="D41" s="16" t="inlineStr">
        <ns0:is>
          <ns0:t xml:space="preserve">180kΩ，1%，0402</ns0:t>
        </ns0:is>
      </ns0:c>
      <ns0:c r="E41" s="17" t="inlineStr">
        <ns0:is>
          <ns0:t xml:space="preserve">UniOhm</ns0:t>
        </ns0:is>
      </ns0:c>
      <ns0:c r="F41" s="17" t="inlineStr">
        <ns0:is>
          <ns0:t xml:space="preserve">0402WGF1803TCE</ns0:t>
        </ns0:is>
      </ns0:c>
      <ns0:c r="G41" s="17" t="inlineStr">
        <ns0:is>
          <ns0:t xml:space="preserve">C25760</ns0:t>
        </ns0:is>
      </ns0:c>
      <ns0:c r="H41" s="16" t="inlineStr">
        <ns0:is>
          <ns0:t xml:space="preserve">R43</ns0:t>
        </ns0:is>
      </ns0:c>
      <ns0:c r="I41" s="17" t="inlineStr">
        <ns0:is>
          <ns0:t xml:space="preserve">电子元件（SMT）</ns0:t>
        </ns0:is>
      </ns0:c>
      <ns0:c r="J41" s="17" t="inlineStr">
        <ns0:is>
          <ns0:t xml:space="preserve">JLCPCB 贴片</ns0:t>
        </ns0:is>
      </ns0:c>
      <ns0:c r="K41" s="14" t="inlineStr">
        <ns0:is>
          <ns0:t xml:space="preserve">个</ns0:t>
        </ns0:is>
      </ns0:c>
      <ns0:c r="L41" s="18" t="n">
        <ns0:v>1</ns0:v>
      </ns0:c>
      <ns0:c r="M41" s="19" t="n">
        <ns0:f>M3*L41</ns0:f>
        <ns0:v>1</ns0:v>
      </ns0:c>
      <ns0:c r="N41" s="14" t="inlineStr">
        <ns0:is>
          <ns0:t xml:space="preserve">已确定</ns0:t>
        </ns0:is>
      </ns0:c>
      <ns0:c r="O41" s="16" t="inlineStr">
        <ns0:is>
          <ns0:t xml:space="preserve">设计型号 Yageo RC0402FR-07180KL。UniOhm 同规格替代；U7 反馈分压下臂电阻。</ns0:t>
        </ns0:is>
      </ns0:c>
    </ns0:row>
    <ns0:row r="42" outlineLevel="2">
      <ns0:c r="A42" s="14" t="n">
        <ns0:v>2</ns0:v>
      </ns0:c>
      <ns0:c r="B42" s="14" t="inlineStr">
        <ns0:is>
          <ns0:t xml:space="preserve">1.1.39</ns0:t>
        </ns0:is>
      </ns0:c>
      <ns0:c r="C42" s="15" t="inlineStr">
        <ns0:is>
          <ns0:t xml:space="preserve">贴片电阻 100kΩ 0402</ns0:t>
        </ns0:is>
      </ns0:c>
      <ns0:c r="D42" s="16" t="inlineStr">
        <ns0:is>
          <ns0:t xml:space="preserve">100kΩ，1%，0402</ns0:t>
        </ns0:is>
      </ns0:c>
      <ns0:c r="E42" s="17" t="inlineStr">
        <ns0:is>
          <ns0:t xml:space="preserve">UniOhm</ns0:t>
        </ns0:is>
      </ns0:c>
      <ns0:c r="F42" s="17" t="inlineStr">
        <ns0:is>
          <ns0:t xml:space="preserve">0402WGF1003TCE</ns0:t>
        </ns0:is>
      </ns0:c>
      <ns0:c r="G42" s="17" t="inlineStr">
        <ns0:is>
          <ns0:t xml:space="preserve">C25741</ns0:t>
        </ns0:is>
      </ns0:c>
      <ns0:c r="H42" s="16" t="inlineStr">
        <ns0:is>
          <ns0:t xml:space="preserve">R45</ns0:t>
        </ns0:is>
      </ns0:c>
      <ns0:c r="I42" s="17" t="inlineStr">
        <ns0:is>
          <ns0:t xml:space="preserve">电子元件（SMT）</ns0:t>
        </ns0:is>
      </ns0:c>
      <ns0:c r="J42" s="17" t="inlineStr">
        <ns0:is>
          <ns0:t xml:space="preserve">JLCPCB 贴片</ns0:t>
        </ns0:is>
      </ns0:c>
      <ns0:c r="K42" s="14" t="inlineStr">
        <ns0:is>
          <ns0:t xml:space="preserve">个</ns0:t>
        </ns0:is>
      </ns0:c>
      <ns0:c r="L42" s="18" t="n">
        <ns0:v>1</ns0:v>
      </ns0:c>
      <ns0:c r="M42" s="19" t="n">
        <ns0:f>M3*L42</ns0:f>
        <ns0:v>1</ns0:v>
      </ns0:c>
      <ns0:c r="N42" s="14" t="inlineStr">
        <ns0:is>
          <ns0:t xml:space="preserve">已确定</ns0:t>
        </ns0:is>
      </ns0:c>
      <ns0:c r="O42" s="16" t="inlineStr">
        <ns0:is>
          <ns0:t xml:space="preserve">设计型号 Yageo RC0402FR-07100KL。Rev B：TOUCH_RESET 下拉。</ns0:t>
        </ns0:is>
      </ns0:c>
    </ns0:row>
    <ns0:row r="43" outlineLevel="2">
      <ns0:c r="A43" s="14" t="n">
        <ns0:v>2</ns0:v>
      </ns0:c>
      <ns0:c r="B43" s="14" t="inlineStr">
        <ns0:is>
          <ns0:t xml:space="preserve">1.1.40</ns0:t>
        </ns0:is>
      </ns0:c>
      <ns0:c r="C43" s="15" t="inlineStr">
        <ns0:is>
          <ns0:t xml:space="preserve">贴片电阻 100kΩ 0402</ns0:t>
        </ns0:is>
      </ns0:c>
      <ns0:c r="D43" s="16" t="inlineStr">
        <ns0:is>
          <ns0:t xml:space="preserve">100kΩ，1%，0402</ns0:t>
        </ns0:is>
      </ns0:c>
      <ns0:c r="E43" s="17" t="inlineStr">
        <ns0:is>
          <ns0:t xml:space="preserve">UniOhm</ns0:t>
        </ns0:is>
      </ns0:c>
      <ns0:c r="F43" s="17" t="inlineStr">
        <ns0:is>
          <ns0:t xml:space="preserve">0402WGF1003TCE</ns0:t>
        </ns0:is>
      </ns0:c>
      <ns0:c r="G43" s="17" t="inlineStr">
        <ns0:is>
          <ns0:t xml:space="preserve">C25741</ns0:t>
        </ns0:is>
      </ns0:c>
      <ns0:c r="H43" s="16" t="inlineStr">
        <ns0:is>
          <ns0:t xml:space="preserve">R46</ns0:t>
        </ns0:is>
      </ns0:c>
      <ns0:c r="I43" s="17" t="inlineStr">
        <ns0:is>
          <ns0:t xml:space="preserve">电子元件（SMT）</ns0:t>
        </ns0:is>
      </ns0:c>
      <ns0:c r="J43" s="17" t="inlineStr">
        <ns0:is>
          <ns0:t xml:space="preserve">JLCPCB 贴片</ns0:t>
        </ns0:is>
      </ns0:c>
      <ns0:c r="K43" s="14" t="inlineStr">
        <ns0:is>
          <ns0:t xml:space="preserve">个</ns0:t>
        </ns0:is>
      </ns0:c>
      <ns0:c r="L43" s="18" t="n">
        <ns0:v>1</ns0:v>
      </ns0:c>
      <ns0:c r="M43" s="19" t="n">
        <ns0:f>M3*L43</ns0:f>
        <ns0:v>1</ns0:v>
      </ns0:c>
      <ns0:c r="N43" s="14" t="inlineStr">
        <ns0:is>
          <ns0:t xml:space="preserve">已确定</ns0:t>
        </ns0:is>
      </ns0:c>
      <ns0:c r="O43" s="16" t="inlineStr">
        <ns0:is>
          <ns0:t xml:space="preserve">设计型号 Yageo RC0402FR-07100KL。Rev B：CHG_STATUS 上拉至 IO_3V3（充电器 CHG → MCU PA33）。</ns0:t>
        </ns0:is>
      </ns0:c>
    </ns0:row>
    <ns0:row r="44" outlineLevel="2">
      <ns0:c r="A44" s="14" t="n">
        <ns0:v>2</ns0:v>
      </ns0:c>
      <ns0:c r="B44" s="14" t="inlineStr">
        <ns0:is>
          <ns0:t xml:space="preserve">1.1.41</ns0:t>
        </ns0:is>
      </ns0:c>
      <ns0:c r="C44" s="15" t="inlineStr">
        <ns0:is>
          <ns0:t xml:space="preserve">贴片电阻 0Ω 0402</ns0:t>
        </ns0:is>
      </ns0:c>
      <ns0:c r="D44" s="16" t="inlineStr">
        <ns0:is>
          <ns0:t xml:space="preserve">0Ω，1%，0402</ns0:t>
        </ns0:is>
      </ns0:c>
      <ns0:c r="E44" s="17" t="inlineStr">
        <ns0:is>
          <ns0:t xml:space="preserve">UniOhm</ns0:t>
        </ns0:is>
      </ns0:c>
      <ns0:c r="F44" s="17" t="inlineStr">
        <ns0:is>
          <ns0:t xml:space="preserve">0402WGF0000TCE</ns0:t>
        </ns0:is>
      </ns0:c>
      <ns0:c r="G44" s="17" t="inlineStr">
        <ns0:is>
          <ns0:t xml:space="preserve">C17168</ns0:t>
        </ns0:is>
      </ns0:c>
      <ns0:c r="H44" s="16" t="inlineStr">
        <ns0:is>
          <ns0:t xml:space="preserve">R48</ns0:t>
        </ns0:is>
      </ns0:c>
      <ns0:c r="I44" s="17" t="inlineStr">
        <ns0:is>
          <ns0:t xml:space="preserve">电子元件（SMT）</ns0:t>
        </ns0:is>
      </ns0:c>
      <ns0:c r="J44" s="17" t="inlineStr">
        <ns0:is>
          <ns0:t xml:space="preserve">JLCPCB 贴片</ns0:t>
        </ns0:is>
      </ns0:c>
      <ns0:c r="K44" s="14" t="inlineStr">
        <ns0:is>
          <ns0:t xml:space="preserve">个</ns0:t>
        </ns0:is>
      </ns0:c>
      <ns0:c r="L44" s="18" t="n">
        <ns0:v>1</ns0:v>
      </ns0:c>
      <ns0:c r="M44" s="19" t="n">
        <ns0:f>M3*L44</ns0:f>
        <ns0:v>1</ns0:v>
      </ns0:c>
      <ns0:c r="N44" s="14" t="inlineStr">
        <ns0:is>
          <ns0:t xml:space="preserve">已确定</ns0:t>
        </ns0:is>
      </ns0:c>
      <ns0:c r="O44" s="16" t="inlineStr">
        <ns0:is>
          <ns0:t xml:space="preserve">设计型号 Yageo RC0402JR-070RL。Rev B：将显示模组 TP_VCC（U3 pin 6）接到 IO_3V3；拆除则悬空（同 r6）。</ns0:t>
        </ns0:is>
      </ns0:c>
    </ns0:row>
    <ns0:row r="45" outlineLevel="2">
      <ns0:c r="A45" s="14" t="n">
        <ns0:v>2</ns0:v>
      </ns0:c>
      <ns0:c r="B45" s="14" t="inlineStr">
        <ns0:is>
          <ns0:t xml:space="preserve">1.1.42</ns0:t>
        </ns0:is>
      </ns0:c>
      <ns0:c r="C45" s="15" t="inlineStr">
        <ns0:is>
          <ns0:t xml:space="preserve">侧按轻触开关</ns0:t>
        </ns0:is>
      </ns0:c>
      <ns0:c r="D45" s="16" t="inlineStr">
        <ns0:is>
          <ns0:t xml:space="preserve">ALPS SKTDLDE010，侧向按压贴片；SW1 ENTER、SW2 ESC、SW6 SHIFT（左侧）、SW5 PTT（右侧）</ns0:t>
        </ns0:is>
      </ns0:c>
      <ns0:c r="E45" s="17" t="inlineStr">
        <ns0:is>
          <ns0:t xml:space="preserve">Alps Alpine</ns0:t>
        </ns0:is>
      </ns0:c>
      <ns0:c r="F45" s="17" t="inlineStr">
        <ns0:is>
          <ns0:t xml:space="preserve">SKTDLDE010</ns0:t>
        </ns0:is>
      </ns0:c>
      <ns0:c r="G45" s="17" t="inlineStr">
        <ns0:is>
          <ns0:t xml:space="preserve">C115365</ns0:t>
        </ns0:is>
      </ns0:c>
      <ns0:c r="H45" s="16" t="inlineStr">
        <ns0:is>
          <ns0:t xml:space="preserve">SW1, SW2, SW5, SW6</ns0:t>
        </ns0:is>
      </ns0:c>
      <ns0:c r="I45" s="17" t="inlineStr">
        <ns0:is>
          <ns0:t xml:space="preserve">电子元件（SMT）</ns0:t>
        </ns0:is>
      </ns0:c>
      <ns0:c r="J45" s="17" t="inlineStr">
        <ns0:is>
          <ns0:t xml:space="preserve">JLCPCB 贴片</ns0:t>
        </ns0:is>
      </ns0:c>
      <ns0:c r="K45" s="14" t="inlineStr">
        <ns0:is>
          <ns0:t xml:space="preserve">个</ns0:t>
        </ns0:is>
      </ns0:c>
      <ns0:c r="L45" s="18" t="n">
        <ns0:v>4</ns0:v>
      </ns0:c>
      <ns0:c r="M45" s="19" t="n">
        <ns0:f>M3*L45</ns0:f>
        <ns0:v>4</ns0:v>
      </ns0:c>
      <ns0:c r="N45" s="14" t="inlineStr">
        <ns0:is>
          <ns0:t xml:space="preserve">已确定</ns0:t>
        </ns0:is>
      </ns0:c>
      <ns0:c r="O45" s="16" t="inlineStr">
        <ns0:is>
          <ns0:t xml:space="preserve">与设计型号一致。</ns0:t>
        </ns0:is>
      </ns0:c>
    </ns0:row>
    <ns0:row r="46" outlineLevel="2">
      <ns0:c r="A46" s="14" t="n">
        <ns0:v>2</ns0:v>
      </ns0:c>
      <ns0:c r="B46" s="14" t="inlineStr">
        <ns0:is>
          <ns0:t xml:space="preserve">1.1.43</ns0:t>
        </ns0:is>
      </ns0:c>
      <ns0:c r="C46" s="15" t="inlineStr">
        <ns0:is>
          <ns0:t xml:space="preserve">轻触开关</ns0:t>
        </ns0:is>
      </ns0:c>
      <ns0:c r="D46" s="16" t="inlineStr">
        <ns0:is>
          <ns0:t xml:space="preserve">C&amp;K PTS636SM25SMTRLFS，贴片；SW3/SW4 前面左/右键（MACRO_LEFT/RIGHT）</ns0:t>
        </ns0:is>
      </ns0:c>
      <ns0:c r="E46" s="17" t="inlineStr">
        <ns0:is>
          <ns0:t xml:space="preserve">C&amp;K</ns0:t>
        </ns0:is>
      </ns0:c>
      <ns0:c r="F46" s="17" t="inlineStr">
        <ns0:is>
          <ns0:t xml:space="preserve">PTS636SM25SMTRLFS</ns0:t>
        </ns0:is>
      </ns0:c>
      <ns0:c r="G46" s="17" t="inlineStr">
        <ns0:is>
          <ns0:t xml:space="preserve">C2799946</ns0:t>
        </ns0:is>
      </ns0:c>
      <ns0:c r="H46" s="16" t="inlineStr">
        <ns0:is>
          <ns0:t xml:space="preserve">SW3, SW4</ns0:t>
        </ns0:is>
      </ns0:c>
      <ns0:c r="I46" s="17" t="inlineStr">
        <ns0:is>
          <ns0:t xml:space="preserve">电子元件（SMT）</ns0:t>
        </ns0:is>
      </ns0:c>
      <ns0:c r="J46" s="17" t="inlineStr">
        <ns0:is>
          <ns0:t xml:space="preserve">JLCPCB 贴片</ns0:t>
        </ns0:is>
      </ns0:c>
      <ns0:c r="K46" s="14" t="inlineStr">
        <ns0:is>
          <ns0:t xml:space="preserve">个</ns0:t>
        </ns0:is>
      </ns0:c>
      <ns0:c r="L46" s="18" t="n">
        <ns0:v>2</ns0:v>
      </ns0:c>
      <ns0:c r="M46" s="19" t="n">
        <ns0:f>M3*L46</ns0:f>
        <ns0:v>2</ns0:v>
      </ns0:c>
      <ns0:c r="N46" s="20" t="inlineStr">
        <ns0:is>
          <ns0:t xml:space="preserve">待确认</ns0:t>
        </ns0:is>
      </ns0:c>
      <ns0:c r="O46" s="16" t="inlineStr">
        <ns0:is>
          <ns0:t xml:space="preserve">与设计型号一致。2026-09-23 LCSC 缺货，核查 JLC 库存。</ns0:t>
        </ns0:is>
      </ns0:c>
    </ns0:row>
    <ns0:row r="47" outlineLevel="2">
      <ns0:c r="A47" s="14" t="n">
        <ns0:v>2</ns0:v>
      </ns0:c>
      <ns0:c r="B47" s="14" t="inlineStr">
        <ns0:is>
          <ns0:t xml:space="preserve">1.1.44</ns0:t>
        </ns0:is>
      </ns0:c>
      <ns0:c r="C47" s="15" t="inlineStr">
        <ns0:is>
          <ns0:t xml:space="preserve">音频功率放大器</ns0:t>
        </ns0:is>
      </ns0:c>
      <ns0:c r="D47" s="16" t="inlineStr">
        <ns0:is>
          <ns0:t xml:space="preserve">NS4150B，SOP-8，单声道 D 类/AB 类，驱动扬声器（BTL）</ns0:t>
        </ns0:is>
      </ns0:c>
      <ns0:c r="E47" s="17" t="inlineStr">
        <ns0:is>
          <ns0:t xml:space="preserve">Nsiway</ns0:t>
        </ns0:is>
      </ns0:c>
      <ns0:c r="F47" s="17" t="inlineStr">
        <ns0:is>
          <ns0:t xml:space="preserve">NS4150B</ns0:t>
        </ns0:is>
      </ns0:c>
      <ns0:c r="G47" s="17" t="inlineStr">
        <ns0:is>
          <ns0:t xml:space="preserve">C189961</ns0:t>
        </ns0:is>
      </ns0:c>
      <ns0:c r="H47" s="16" t="inlineStr">
        <ns0:is>
          <ns0:t xml:space="preserve">U1</ns0:t>
        </ns0:is>
      </ns0:c>
      <ns0:c r="I47" s="17" t="inlineStr">
        <ns0:is>
          <ns0:t xml:space="preserve">电子元件（SMT）</ns0:t>
        </ns0:is>
      </ns0:c>
      <ns0:c r="J47" s="17" t="inlineStr">
        <ns0:is>
          <ns0:t xml:space="preserve">JLCPCB 贴片</ns0:t>
        </ns0:is>
      </ns0:c>
      <ns0:c r="K47" s="14" t="inlineStr">
        <ns0:is>
          <ns0:t xml:space="preserve">个</ns0:t>
        </ns0:is>
      </ns0:c>
      <ns0:c r="L47" s="18" t="n">
        <ns0:v>1</ns0:v>
      </ns0:c>
      <ns0:c r="M47" s="19" t="n">
        <ns0:f>M3*L47</ns0:f>
        <ns0:v>1</ns0:v>
      </ns0:c>
      <ns0:c r="N47" s="14" t="inlineStr">
        <ns0:is>
          <ns0:t xml:space="preserve">已确定</ns0:t>
        </ns0:is>
      </ns0:c>
      <ns0:c r="O47" s="16" t="inlineStr">
        <ns0:is>
          <ns0:t xml:space="preserve">与设计型号一致。</ns0:t>
        </ns0:is>
      </ns0:c>
    </ns0:row>
    <ns0:row r="48" outlineLevel="2">
      <ns0:c r="A48" s="14" t="n">
        <ns0:v>2</ns0:v>
      </ns0:c>
      <ns0:c r="B48" s="14" t="inlineStr">
        <ns0:is>
          <ns0:t xml:space="preserve">1.1.45</ns0:t>
        </ns0:is>
      </ns0:c>
      <ns0:c r="C48" s="15" t="inlineStr">
        <ns0:is>
          <ns0:t xml:space="preserve">负载开关</ns0:t>
        </ns0:is>
      </ns0:c>
      <ns0:c r="D48" s="16" t="inlineStr">
        <ns0:is>
          <ns0:t xml:space="preserve">TPS22918DBVR，SOT-23-6；U2 麦克风供电，U10 显示逻辑供电</ns0:t>
        </ns0:is>
      </ns0:c>
      <ns0:c r="E48" s="17" t="inlineStr">
        <ns0:is>
          <ns0:t xml:space="preserve">Texas Instruments</ns0:t>
        </ns0:is>
      </ns0:c>
      <ns0:c r="F48" s="17" t="inlineStr">
        <ns0:is>
          <ns0:t xml:space="preserve">TPS22918DBVR</ns0:t>
        </ns0:is>
      </ns0:c>
      <ns0:c r="G48" s="17" t="inlineStr">
        <ns0:is>
          <ns0:t xml:space="preserve">C131941</ns0:t>
        </ns0:is>
      </ns0:c>
      <ns0:c r="H48" s="16" t="inlineStr">
        <ns0:is>
          <ns0:t xml:space="preserve">U2, U10</ns0:t>
        </ns0:is>
      </ns0:c>
      <ns0:c r="I48" s="17" t="inlineStr">
        <ns0:is>
          <ns0:t xml:space="preserve">电子元件（SMT）</ns0:t>
        </ns0:is>
      </ns0:c>
      <ns0:c r="J48" s="17" t="inlineStr">
        <ns0:is>
          <ns0:t xml:space="preserve">JLCPCB 贴片</ns0:t>
        </ns0:is>
      </ns0:c>
      <ns0:c r="K48" s="14" t="inlineStr">
        <ns0:is>
          <ns0:t xml:space="preserve">个</ns0:t>
        </ns0:is>
      </ns0:c>
      <ns0:c r="L48" s="18" t="n">
        <ns0:v>2</ns0:v>
      </ns0:c>
      <ns0:c r="M48" s="19" t="n">
        <ns0:f>M3*L48</ns0:f>
        <ns0:v>2</ns0:v>
      </ns0:c>
      <ns0:c r="N48" s="14" t="inlineStr">
        <ns0:is>
          <ns0:t xml:space="preserve">已确定</ns0:t>
        </ns0:is>
      </ns0:c>
      <ns0:c r="O48" s="16" t="inlineStr">
        <ns0:is>
          <ns0:t xml:space="preserve">与设计型号一致。</ns0:t>
        </ns0:is>
      </ns0:c>
    </ns0:row>
    <ns0:row r="49" outlineLevel="2">
      <ns0:c r="A49" s="14" t="n">
        <ns0:v>2</ns0:v>
      </ns0:c>
      <ns0:c r="B49" s="14" t="inlineStr">
        <ns0:is>
          <ns0:t xml:space="preserve">1.1.46</ns0:t>
        </ns0:is>
      </ns0:c>
      <ns0:c r="C49" s="15" t="inlineStr">
        <ns0:is>
          <ns0:t xml:space="preserve">显示/触摸 FPC 连接器 31P 0.3 mm</ns0:t>
        </ns0:is>
      </ns0:c>
      <ns0:c r="D49" s="16" t="inlineStr">
        <ns0:is>
          <ns0:t xml:space="preserve">DIANWEI 8.03A5.031250，0.3 mm 间距 31 位，接显示模组 FPC；B 面</ns0:t>
        </ns0:is>
      </ns0:c>
      <ns0:c r="E49" s="17" t="inlineStr">
        <ns0:is>
          <ns0:t xml:space="preserve">DIANWEI</ns0:t>
        </ns0:is>
      </ns0:c>
      <ns0:c r="F49" s="17" t="inlineStr">
        <ns0:is>
          <ns0:t xml:space="preserve">8.03A5.031250</ns0:t>
        </ns0:is>
      </ns0:c>
      <ns0:c r="G49" s="17" t="inlineStr">
        <ns0:is>
          <ns0:t xml:space="preserve">C55247264</ns0:t>
        </ns0:is>
      </ns0:c>
      <ns0:c r="H49" s="16" t="inlineStr">
        <ns0:is>
          <ns0:t xml:space="preserve">U3</ns0:t>
        </ns0:is>
      </ns0:c>
      <ns0:c r="I49" s="17" t="inlineStr">
        <ns0:is>
          <ns0:t xml:space="preserve">电子元件（SMT）</ns0:t>
        </ns0:is>
      </ns0:c>
      <ns0:c r="J49" s="17" t="inlineStr">
        <ns0:is>
          <ns0:t xml:space="preserve">JLCPCB 贴片</ns0:t>
        </ns0:is>
      </ns0:c>
      <ns0:c r="K49" s="14" t="inlineStr">
        <ns0:is>
          <ns0:t xml:space="preserve">个</ns0:t>
        </ns0:is>
      </ns0:c>
      <ns0:c r="L49" s="18" t="n">
        <ns0:v>1</ns0:v>
      </ns0:c>
      <ns0:c r="M49" s="19" t="n">
        <ns0:f>M3*L49</ns0:f>
        <ns0:v>1</ns0:v>
      </ns0:c>
      <ns0:c r="N49" s="14" t="inlineStr">
        <ns0:is>
          <ns0:t xml:space="preserve">已确定</ns0:t>
        </ns0:is>
      </ns0:c>
      <ns0:c r="O49" s="16" t="inlineStr">
        <ns0:is>
          <ns0:t xml:space="preserve">与设计型号一致。</ns0:t>
        </ns0:is>
      </ns0:c>
    </ns0:row>
    <ns0:row r="50" outlineLevel="2">
      <ns0:c r="A50" s="14" t="n">
        <ns0:v>2</ns0:v>
      </ns0:c>
      <ns0:c r="B50" s="14" t="inlineStr">
        <ns0:is>
          <ns0:t xml:space="preserve">1.1.47</ns0:t>
        </ns0:is>
      </ns0:c>
      <ns0:c r="C50" s="15" t="inlineStr">
        <ns0:is>
          <ns0:t xml:space="preserve">SPI NOR Flash 128 Mbit</ns0:t>
        </ns0:is>
      </ns0:c>
      <ns0:c r="D50" s="16" t="inlineStr">
        <ns0:is>
          <ns0:t xml:space="preserve">W25Q128JVSIQ，SOIC-8，QSPI</ns0:t>
        </ns0:is>
      </ns0:c>
      <ns0:c r="E50" s="17" t="inlineStr">
        <ns0:is>
          <ns0:t xml:space="preserve">Winbond</ns0:t>
        </ns0:is>
      </ns0:c>
      <ns0:c r="F50" s="17" t="inlineStr">
        <ns0:is>
          <ns0:t xml:space="preserve">W25Q128JVSIQ</ns0:t>
        </ns0:is>
      </ns0:c>
      <ns0:c r="G50" s="17" t="inlineStr">
        <ns0:is>
          <ns0:t xml:space="preserve">C97521</ns0:t>
        </ns0:is>
      </ns0:c>
      <ns0:c r="H50" s="16" t="inlineStr">
        <ns0:is>
          <ns0:t xml:space="preserve">U4</ns0:t>
        </ns0:is>
      </ns0:c>
      <ns0:c r="I50" s="17" t="inlineStr">
        <ns0:is>
          <ns0:t xml:space="preserve">电子元件（SMT）</ns0:t>
        </ns0:is>
      </ns0:c>
      <ns0:c r="J50" s="17" t="inlineStr">
        <ns0:is>
          <ns0:t xml:space="preserve">JLCPCB 贴片</ns0:t>
        </ns0:is>
      </ns0:c>
      <ns0:c r="K50" s="14" t="inlineStr">
        <ns0:is>
          <ns0:t xml:space="preserve">个</ns0:t>
        </ns0:is>
      </ns0:c>
      <ns0:c r="L50" s="18" t="n">
        <ns0:v>1</ns0:v>
      </ns0:c>
      <ns0:c r="M50" s="19" t="n">
        <ns0:f>M3*L50</ns0:f>
        <ns0:v>1</ns0:v>
      </ns0:c>
      <ns0:c r="N50" s="14" t="inlineStr">
        <ns0:is>
          <ns0:t xml:space="preserve">已确定</ns0:t>
        </ns0:is>
      </ns0:c>
      <ns0:c r="O50" s="16" t="inlineStr">
        <ns0:is>
          <ns0:t xml:space="preserve">与设计型号一致（JLC 基础库）。</ns0:t>
        </ns0:is>
      </ns0:c>
    </ns0:row>
    <ns0:row r="51" outlineLevel="2">
      <ns0:c r="A51" s="14" t="n">
        <ns0:v>2</ns0:v>
      </ns0:c>
      <ns0:c r="B51" s="14" t="inlineStr">
        <ns0:is>
          <ns0:t xml:space="preserve">1.1.48</ns0:t>
        </ns0:is>
      </ns0:c>
      <ns0:c r="C51" s="15" t="inlineStr">
        <ns0:is>
          <ns0:t xml:space="preserve">主控 MCU（BLE SoC）</ns0:t>
        </ns0:is>
      </ns0:c>
      <ns0:c r="D51" s="16" t="inlineStr">
        <ns0:is>
          <ns0:t xml:space="preserve">SiFli SF32LB525UC6，QFN-68，Cortex-M33，含蓝牙；B 面</ns0:t>
        </ns0:is>
      </ns0:c>
      <ns0:c r="E51" s="17" t="inlineStr">
        <ns0:is>
          <ns0:t xml:space="preserve">SiFli Technologies</ns0:t>
        </ns0:is>
      </ns0:c>
      <ns0:c r="F51" s="17" t="inlineStr">
        <ns0:is>
          <ns0:t xml:space="preserve">SF32LB525UC6</ns0:t>
        </ns0:is>
      </ns0:c>
      <ns0:c r="G51" s="17" t="inlineStr">
        <ns0:is>
          <ns0:t xml:space="preserve">C47355842</ns0:t>
        </ns0:is>
      </ns0:c>
      <ns0:c r="H51" s="16" t="inlineStr">
        <ns0:is>
          <ns0:t xml:space="preserve">U5</ns0:t>
        </ns0:is>
      </ns0:c>
      <ns0:c r="I51" s="17" t="inlineStr">
        <ns0:is>
          <ns0:t xml:space="preserve">电子元件（SMT）</ns0:t>
        </ns0:is>
      </ns0:c>
      <ns0:c r="J51" s="17" t="inlineStr">
        <ns0:is>
          <ns0:t xml:space="preserve">JLCPCB 贴片</ns0:t>
        </ns0:is>
      </ns0:c>
      <ns0:c r="K51" s="14" t="inlineStr">
        <ns0:is>
          <ns0:t xml:space="preserve">个</ns0:t>
        </ns0:is>
      </ns0:c>
      <ns0:c r="L51" s="18" t="n">
        <ns0:v>1</ns0:v>
      </ns0:c>
      <ns0:c r="M51" s="19" t="n">
        <ns0:f>M3*L51</ns0:f>
        <ns0:v>1</ns0:v>
      </ns0:c>
      <ns0:c r="N51" s="20" t="inlineStr">
        <ns0:is>
          <ns0:t xml:space="preserve">待确认</ns0:t>
        </ns0:is>
      </ns0:c>
      <ns0:c r="O51" s="16" t="inlineStr">
        <ns0:is>
          <ns0:t xml:space="preserve">与设计型号一致。LCSC 缺货，JLC 另列编号 C9900153074，下单前核查。</ns0:t>
        </ns0:is>
      </ns0:c>
    </ns0:row>
    <ns0:row r="52" outlineLevel="2">
      <ns0:c r="A52" s="14" t="n">
        <ns0:v>2</ns0:v>
      </ns0:c>
      <ns0:c r="B52" s="14" t="inlineStr">
        <ns0:is>
          <ns0:t xml:space="preserve">1.1.49</ns0:t>
        </ns0:is>
      </ns0:c>
      <ns0:c r="C52" s="15" t="inlineStr">
        <ns0:is>
          <ns0:t xml:space="preserve">单节锂电充电管理</ns0:t>
        </ns0:is>
      </ns0:c>
      <ns0:c r="D52" s="16" t="str">
        <ns0:v>TI BQ24073RGTR，VQFN-16，线性充电+电源路径，247 mA 充电/500 mA 输入限流，系统轨 4.4 V；需 10 kΩ 电池 NTC</ns0:v>
      </ns0:c>
      <ns0:c r="E52" s="17" t="inlineStr">
        <ns0:is>
          <ns0:t xml:space="preserve">Texas Instruments</ns0:t>
        </ns0:is>
      </ns0:c>
      <ns0:c r="F52" s="17" t="inlineStr">
        <ns0:is>
          <ns0:t xml:space="preserve">BQ24073RGTR</ns0:t>
        </ns0:is>
      </ns0:c>
      <ns0:c r="G52" s="17" t="inlineStr">
        <ns0:is>
          <ns0:t xml:space="preserve">C15220</ns0:t>
        </ns0:is>
      </ns0:c>
      <ns0:c r="H52" s="16" t="inlineStr">
        <ns0:is>
          <ns0:t xml:space="preserve">U6</ns0:t>
        </ns0:is>
      </ns0:c>
      <ns0:c r="I52" s="17" t="inlineStr">
        <ns0:is>
          <ns0:t xml:space="preserve">电子元件（SMT）</ns0:t>
        </ns0:is>
      </ns0:c>
      <ns0:c r="J52" s="17" t="inlineStr">
        <ns0:is>
          <ns0:t xml:space="preserve">JLCPCB 贴片</ns0:t>
        </ns0:is>
      </ns0:c>
      <ns0:c r="K52" s="14" t="inlineStr">
        <ns0:is>
          <ns0:t xml:space="preserve">个</ns0:t>
        </ns0:is>
      </ns0:c>
      <ns0:c r="L52" s="18" t="n">
        <ns0:v>1</ns0:v>
      </ns0:c>
      <ns0:c r="M52" s="19" t="n">
        <ns0:f>M3*L52</ns0:f>
        <ns0:v>1</ns0:v>
      </ns0:c>
      <ns0:c r="N52" s="14" t="inlineStr">
        <ns0:is>
          <ns0:t xml:space="preserve">已确定</ns0:t>
        </ns0:is>
      </ns0:c>
      <ns0:c r="O52" s="16" t="inlineStr">
        <ns0:is>
          <ns0:t xml:space="preserve">与设计型号一致（扩展库），约 16,900 件。替代已缺货的 SGM41562SA。</ns0:t>
        </ns0:is>
      </ns0:c>
    </ns0:row>
    <ns0:row r="53" outlineLevel="2">
      <ns0:c r="A53" s="14" t="n">
        <ns0:v>2</ns0:v>
      </ns0:c>
      <ns0:c r="B53" s="14" t="inlineStr">
        <ns0:is>
          <ns0:t xml:space="preserve">1.1.50</ns0:t>
        </ns0:is>
      </ns0:c>
      <ns0:c r="C53" s="15" t="inlineStr">
        <ns0:is>
          <ns0:t xml:space="preserve">同步降压 DC-DC</ns0:t>
        </ns0:is>
      </ns0:c>
      <ns0:c r="D53" s="16" t="inlineStr">
        <ns0:is>
          <ns0:t xml:space="preserve">Richtek RT6150BGQW，WDFN-10，可调输出；U7 产生 IO_3V3（≈3.28 V），U8 另一路</ns0:t>
        </ns0:is>
      </ns0:c>
      <ns0:c r="E53" s="17" t="inlineStr">
        <ns0:is>
          <ns0:t xml:space="preserve">Richtek</ns0:t>
        </ns0:is>
      </ns0:c>
      <ns0:c r="F53" s="17" t="inlineStr">
        <ns0:is>
          <ns0:t xml:space="preserve">RT6150BGQW</ns0:t>
        </ns0:is>
      </ns0:c>
      <ns0:c r="G53" s="17" t="inlineStr">
        <ns0:is>
          <ns0:t xml:space="preserve">C147972</ns0:t>
        </ns0:is>
      </ns0:c>
      <ns0:c r="H53" s="16" t="inlineStr">
        <ns0:is>
          <ns0:t xml:space="preserve">U7, U8</ns0:t>
        </ns0:is>
      </ns0:c>
      <ns0:c r="I53" s="17" t="inlineStr">
        <ns0:is>
          <ns0:t xml:space="preserve">电子元件（SMT）</ns0:t>
        </ns0:is>
      </ns0:c>
      <ns0:c r="J53" s="17" t="inlineStr">
        <ns0:is>
          <ns0:t xml:space="preserve">JLCPCB 贴片</ns0:t>
        </ns0:is>
      </ns0:c>
      <ns0:c r="K53" s="14" t="inlineStr">
        <ns0:is>
          <ns0:t xml:space="preserve">个</ns0:t>
        </ns0:is>
      </ns0:c>
      <ns0:c r="L53" s="18" t="n">
        <ns0:v>2</ns0:v>
      </ns0:c>
      <ns0:c r="M53" s="19" t="n">
        <ns0:f>M3*L53</ns0:f>
        <ns0:v>2</ns0:v>
      </ns0:c>
      <ns0:c r="N53" s="14" t="inlineStr">
        <ns0:is>
          <ns0:t xml:space="preserve">已确定</ns0:t>
        </ns0:is>
      </ns0:c>
      <ns0:c r="O53" s="16" t="inlineStr">
        <ns0:is>
          <ns0:t xml:space="preserve">与设计型号一致，约 1,350 件。U7 亦改用可调版（配 R42/R43），固定 3.3 V 版 RT6150B-33GQW 缺货。</ns0:t>
        </ns0:is>
      </ns0:c>
    </ns0:row>
    <ns0:row r="54" outlineLevel="2">
      <ns0:c r="A54" s="14" t="n">
        <ns0:v>2</ns0:v>
      </ns0:c>
      <ns0:c r="B54" s="14" t="inlineStr">
        <ns0:is>
          <ns0:t xml:space="preserve">1.1.51</ns0:t>
        </ns0:is>
      </ns0:c>
      <ns0:c r="C54" s="15" t="inlineStr">
        <ns0:is>
          <ns0:t xml:space="preserve">USB ESD 保护</ns0:t>
        </ns0:is>
      </ns0:c>
      <ns0:c r="D54" s="16" t="inlineStr">
        <ns0:is>
          <ns0:t xml:space="preserve">USBLC6-2SC6，SOT-23-6</ns0:t>
        </ns0:is>
      </ns0:c>
      <ns0:c r="E54" s="17" t="inlineStr">
        <ns0:is>
          <ns0:t xml:space="preserve">STMicroelectronics</ns0:t>
        </ns0:is>
      </ns0:c>
      <ns0:c r="F54" s="17" t="inlineStr">
        <ns0:is>
          <ns0:t xml:space="preserve">USBLC6-2SC6</ns0:t>
        </ns0:is>
      </ns0:c>
      <ns0:c r="G54" s="17" t="inlineStr">
        <ns0:is>
          <ns0:t xml:space="preserve">C7519</ns0:t>
        </ns0:is>
      </ns0:c>
      <ns0:c r="H54" s="16" t="inlineStr">
        <ns0:is>
          <ns0:t xml:space="preserve">U20</ns0:t>
        </ns0:is>
      </ns0:c>
      <ns0:c r="I54" s="17" t="inlineStr">
        <ns0:is>
          <ns0:t xml:space="preserve">电子元件（SMT）</ns0:t>
        </ns0:is>
      </ns0:c>
      <ns0:c r="J54" s="17" t="inlineStr">
        <ns0:is>
          <ns0:t xml:space="preserve">JLCPCB 贴片</ns0:t>
        </ns0:is>
      </ns0:c>
      <ns0:c r="K54" s="14" t="inlineStr">
        <ns0:is>
          <ns0:t xml:space="preserve">个</ns0:t>
        </ns0:is>
      </ns0:c>
      <ns0:c r="L54" s="18" t="n">
        <ns0:v>1</ns0:v>
      </ns0:c>
      <ns0:c r="M54" s="19" t="n">
        <ns0:f>M3*L54</ns0:f>
        <ns0:v>1</ns0:v>
      </ns0:c>
      <ns0:c r="N54" s="14" t="inlineStr">
        <ns0:is>
          <ns0:t xml:space="preserve">已确定</ns0:t>
        </ns0:is>
      </ns0:c>
      <ns0:c r="O54" s="16" t="inlineStr">
        <ns0:is>
          <ns0:t xml:space="preserve">与设计型号一致。</ns0:t>
        </ns0:is>
      </ns0:c>
    </ns0:row>
    <ns0:row r="55" outlineLevel="2">
      <ns0:c r="A55" s="14" t="n">
        <ns0:v>2</ns0:v>
      </ns0:c>
      <ns0:c r="B55" s="14" t="inlineStr">
        <ns0:is>
          <ns0:t xml:space="preserve">1.1.52</ns0:t>
        </ns0:is>
      </ns0:c>
      <ns0:c r="C55" s="15" t="inlineStr">
        <ns0:is>
          <ns0:t xml:space="preserve">晶振 48 MHz</ns0:t>
        </ns0:is>
      </ns0:c>
      <ns0:c r="D55" s="16" t="inlineStr">
        <ns0:is>
          <ns0:t xml:space="preserve">2016 封装 4 脚（Hosonic E1SB48E001G00E），SiFli 要求 CL 7–12 pF、ESR ≤ 30 Ω</ns0:t>
        </ns0:is>
      </ns0:c>
      <ns0:c r="E55" s="17" t="inlineStr">
        <ns0:is>
          <ns0:t xml:space="preserve">Hosonic</ns0:t>
        </ns0:is>
      </ns0:c>
      <ns0:c r="F55" s="17" t="inlineStr">
        <ns0:is>
          <ns0:t xml:space="preserve">E1SB48E001G00E</ns0:t>
        </ns0:is>
      </ns0:c>
      <ns0:c r="G55" s="17" t="inlineStr">
        <ns0:is>
          <ns0:t xml:space="preserve">—</ns0:t>
        </ns0:is>
      </ns0:c>
      <ns0:c r="H55" s="16" t="inlineStr">
        <ns0:is>
          <ns0:t xml:space="preserve">Y1</ns0:t>
        </ns0:is>
      </ns0:c>
      <ns0:c r="I55" s="17" t="inlineStr">
        <ns0:is>
          <ns0:t xml:space="preserve">电子元件（SMT）</ns0:t>
        </ns0:is>
      </ns0:c>
      <ns0:c r="J55" s="17" t="inlineStr">
        <ns0:is>
          <ns0:t xml:space="preserve">JLCPCB 贴片</ns0:t>
        </ns0:is>
      </ns0:c>
      <ns0:c r="K55" s="14" t="inlineStr">
        <ns0:is>
          <ns0:t xml:space="preserve">个</ns0:t>
        </ns0:is>
      </ns0:c>
      <ns0:c r="L55" s="18" t="n">
        <ns0:v>1</ns0:v>
      </ns0:c>
      <ns0:c r="M55" s="19" t="n">
        <ns0:f>M3*L55</ns0:f>
        <ns0:v>1</ns0:v>
      </ns0:c>
      <ns0:c r="N55" s="20" t="inlineStr">
        <ns0:is>
          <ns0:t xml:space="preserve">待确认</ns0:t>
        </ns0:is>
      </ns0:c>
      <ns0:c r="O55" s="16" t="inlineStr">
        <ns0:is>
          <ns0:t xml:space="preserve">LCSC/JLC 均无货。候选 C54561124（TKD SX20Y048000B81T001，48 MHz 8 pF ±10 ppm，ESR 未标注）需按 SiFli 限值（CL 7–12 pF，ESR ≤ 30 Ω）评审后再用。</ns0:t>
        </ns0:is>
      </ns0:c>
    </ns0:row>
    <ns0:row r="56" outlineLevel="1">
      <ns0:c r="A56" s="8" t="n">
        <ns0:v>1</ns0:v>
      </ns0:c>
      <ns0:c r="B56" s="8" t="inlineStr">
        <ns0:is>
          <ns0:t xml:space="preserve">1.2</ns0:t>
        </ns0:is>
      </ns0:c>
      <ns0:c r="C56" s="9" t="inlineStr">
        <ns0:is>
          <ns0:t xml:space="preserve">编码器板组件（PCBA）r6</ns0:t>
        </ns0:is>
      </ns0:c>
      <ns0:c r="D56" s="10" t="inlineStr">
        <ns0:is>
          <ns0:t xml:space="preserve">拨轮编码器小板，经 4P FPC 接主板 J2；Rev B 未改动，沿用 r6 的 encoder/ 包</ns0:t>
        </ns0:is>
      </ns0:c>
      <ns0:c r="E56" s="11" t="inlineStr">
        <ns0:is>
          <ns0:t xml:space="preserve"/>
        </ns0:is>
      </ns0:c>
      <ns0:c r="F56" s="11" t="inlineStr">
        <ns0:is>
          <ns0:t xml:space="preserve">encoder-45deg</ns0:t>
        </ns0:is>
      </ns0:c>
      <ns0:c r="G56" s="11" t="inlineStr">
        <ns0:is>
          <ns0:t xml:space="preserve">hardware/rev-a/pcb-release-bodyv6.13-20260923-r6/fab-jlcpcb/encoder/</ns0:t>
        </ns0:is>
      </ns0:c>
      <ns0:c r="H56" s="10" t="inlineStr">
        <ns0:is>
          <ns0:t xml:space="preserve"/>
        </ns0:is>
      </ns0:c>
      <ns0:c r="I56" s="11" t="inlineStr">
        <ns0:is>
          <ns0:t xml:space="preserve">子装配</ns0:t>
        </ns0:is>
      </ns0:c>
      <ns0:c r="J56" s="11" t="inlineStr">
        <ns0:is>
          <ns0:t xml:space="preserve">JLCPCB 贴片</ns0:t>
        </ns0:is>
      </ns0:c>
      <ns0:c r="K56" s="8" t="inlineStr">
        <ns0:is>
          <ns0:t xml:space="preserve">块</ns0:t>
        </ns0:is>
      </ns0:c>
      <ns0:c r="L56" s="12" t="n">
        <ns0:v>1</ns0:v>
      </ns0:c>
      <ns0:c r="M56" s="13" t="n">
        <ns0:f>M2*L56</ns0:f>
        <ns0:v>1</ns0:v>
      </ns0:c>
      <ns0:c r="N56" s="8" t="inlineStr">
        <ns0:is>
          <ns0:t xml:space="preserve">已确定</ns0:t>
        </ns0:is>
      </ns0:c>
      <ns0:c r="O56" s="10" t="inlineStr">
        <ns0:is>
          <ns0:t xml:space="preserve">二选一：r6 标准板（ENC1 在 F 面，配标准拨轮）或 encoder-wheel 变体（ENC1 翻到拨轮侧，需带腔改型拨轮，1.7.3 另注）。本 BOM 按标准板。</ns0:t>
        </ns0:is>
      </ns0:c>
    </ns0:row>
    <ns0:row r="57" outlineLevel="2">
      <ns0:c r="A57" s="14" t="n">
        <ns0:v>2</ns0:v>
      </ns0:c>
      <ns0:c r="B57" s="14" t="inlineStr">
        <ns0:is>
          <ns0:t xml:space="preserve">1.2.1</ns0:t>
        </ns0:is>
      </ns0:c>
      <ns0:c r="C57" s="15" t="inlineStr">
        <ns0:is>
          <ns0:t xml:space="preserve">编码器板 PCB 裸板</ns0:t>
        </ns0:is>
      </ns0:c>
      <ns0:c r="D57" s="16" t="inlineStr">
        <ns0:is>
          <ns0:t xml:space="preserve">2 层 1.0 mm，ENIG，过孔 0.20/0.45 mm（盖油）；MH2 Ø2.8 套壳体定位柱，MH1 Ø2.6 过 M2 螺钉</ns0:t>
        </ns0:is>
      </ns0:c>
      <ns0:c r="E57" s="17" t="inlineStr">
        <ns0:is>
          <ns0:t xml:space="preserve">JLCPCB</ns0:t>
        </ns0:is>
      </ns0:c>
      <ns0:c r="F57" s="17" t="inlineStr">
        <ns0:is>
          <ns0:t xml:space="preserve">encoder-jlcpcb-gerber.zip</ns0:t>
        </ns0:is>
      </ns0:c>
      <ns0:c r="G57" s="17" t="inlineStr">
        <ns0:is>
          <ns0:t xml:space="preserve">hardware/rev-a/pcb-release-bodyv6.13-20260923-r6/fab-jlcpcb/encoder/encoder-jlcpcb-gerber.zip</ns0:t>
        </ns0:is>
      </ns0:c>
      <ns0:c r="H57" s="16" t="inlineStr">
        <ns0:is>
          <ns0:t xml:space="preserve"/>
        </ns0:is>
      </ns0:c>
      <ns0:c r="I57" s="17" t="inlineStr">
        <ns0:is>
          <ns0:t xml:space="preserve">PCB</ns0:t>
        </ns0:is>
      </ns0:c>
      <ns0:c r="J57" s="17" t="inlineStr">
        <ns0:is>
          <ns0:t xml:space="preserve">JLCPCB 制板</ns0:t>
        </ns0:is>
      </ns0:c>
      <ns0:c r="K57" s="14" t="inlineStr">
        <ns0:is>
          <ns0:t xml:space="preserve">块</ns0:t>
        </ns0:is>
      </ns0:c>
      <ns0:c r="L57" s="18" t="n">
        <ns0:v>1</ns0:v>
      </ns0:c>
      <ns0:c r="M57" s="19" t="n">
        <ns0:f>M56*L57</ns0:f>
        <ns0:v>1</ns0:v>
      </ns0:c>
      <ns0:c r="N57" s="14" t="inlineStr">
        <ns0:is>
          <ns0:t xml:space="preserve">已确定</ns0:t>
        </ns0:is>
      </ns0:c>
      <ns0:c r="O57" s="16" t="inlineStr">
        <ns0:is>
          <ns0:t xml:space="preserve"/>
        </ns0:is>
      </ns0:c>
    </ns0:row>
    <ns0:row r="58" outlineLevel="2">
      <ns0:c r="A58" s="14" t="n">
        <ns0:v>2</ns0:v>
      </ns0:c>
      <ns0:c r="B58" s="14" t="inlineStr">
        <ns0:is>
          <ns0:t xml:space="preserve">1.2.2</ns0:t>
        </ns0:is>
      </ns0:c>
      <ns0:c r="C58" s="15" t="inlineStr">
        <ns0:is>
          <ns0:t xml:space="preserve">旋转编码器（拨轮）</ns0:t>
        </ns0:is>
      </ns0:c>
      <ns0:c r="D58" s="16" t="inlineStr">
        <ns0:is>
          <ns0:t xml:space="preserve">ALPS EC05E1220401，增量式机械编码器，六角轴孔 1.72 mm 对边；拨轮六角轴插入</ns0:t>
        </ns0:is>
      </ns0:c>
      <ns0:c r="E58" s="17" t="inlineStr">
        <ns0:is>
          <ns0:t xml:space="preserve">Alps Alpine</ns0:t>
        </ns0:is>
      </ns0:c>
      <ns0:c r="F58" s="17" t="inlineStr">
        <ns0:is>
          <ns0:t xml:space="preserve">EC05E1220401</ns0:t>
        </ns0:is>
      </ns0:c>
      <ns0:c r="G58" s="17" t="inlineStr">
        <ns0:is>
          <ns0:t xml:space="preserve">C116648</ns0:t>
        </ns0:is>
      </ns0:c>
      <ns0:c r="H58" s="16" t="inlineStr">
        <ns0:is>
          <ns0:t xml:space="preserve">ENC1</ns0:t>
        </ns0:is>
      </ns0:c>
      <ns0:c r="I58" s="17" t="inlineStr">
        <ns0:is>
          <ns0:t xml:space="preserve">电子元件（SMT）</ns0:t>
        </ns0:is>
      </ns0:c>
      <ns0:c r="J58" s="17" t="inlineStr">
        <ns0:is>
          <ns0:t xml:space="preserve">JLCPCB 贴片</ns0:t>
        </ns0:is>
      </ns0:c>
      <ns0:c r="K58" s="14" t="inlineStr">
        <ns0:is>
          <ns0:t xml:space="preserve">个</ns0:t>
        </ns0:is>
      </ns0:c>
      <ns0:c r="L58" s="18" t="n">
        <ns0:v>1</ns0:v>
      </ns0:c>
      <ns0:c r="M58" s="19" t="n">
        <ns0:f>M56*L58</ns0:f>
        <ns0:v>1</ns0:v>
      </ns0:c>
      <ns0:c r="N58" s="14" t="inlineStr">
        <ns0:is>
          <ns0:t xml:space="preserve">已确定</ns0:t>
        </ns0:is>
      </ns0:c>
      <ns0:c r="O58" s="16" t="inlineStr">
        <ns0:is>
          <ns0:t xml:space="preserve">与设计型号一致。</ns0:t>
        </ns0:is>
      </ns0:c>
    </ns0:row>
    <ns0:row r="59" outlineLevel="2">
      <ns0:c r="A59" s="14" t="n">
        <ns0:v>2</ns0:v>
      </ns0:c>
      <ns0:c r="B59" s="14" t="inlineStr">
        <ns0:is>
          <ns0:t xml:space="preserve">1.2.3</ns0:t>
        </ns0:is>
      </ns0:c>
      <ns0:c r="C59" s="15" t="inlineStr">
        <ns0:is>
          <ns0:t xml:space="preserve">板间 FPC 连接器 4P 0.5 mm</ns0:t>
        </ns0:is>
      </ns0:c>
      <ns0:c r="D59" s="16" t="inlineStr">
        <ns0:is>
          <ns0:t xml:space="preserve">Hirose FH34SRJ-4S，0.5 mm 间距 4 位，下接触；接主板 J2</ns0:t>
        </ns0:is>
      </ns0:c>
      <ns0:c r="E59" s="17" t="inlineStr">
        <ns0:is>
          <ns0:t xml:space="preserve">Hirose</ns0:t>
        </ns0:is>
      </ns0:c>
      <ns0:c r="F59" s="17" t="inlineStr">
        <ns0:is>
          <ns0:t xml:space="preserve">FH34SRJ-4S-0.5SH(50)</ns0:t>
        </ns0:is>
      </ns0:c>
      <ns0:c r="G59" s="17" t="inlineStr">
        <ns0:is>
          <ns0:t xml:space="preserve">C596732</ns0:t>
        </ns0:is>
      </ns0:c>
      <ns0:c r="H59" s="16" t="inlineStr">
        <ns0:is>
          <ns0:t xml:space="preserve">J1</ns0:t>
        </ns0:is>
      </ns0:c>
      <ns0:c r="I59" s="17" t="inlineStr">
        <ns0:is>
          <ns0:t xml:space="preserve">电子元件（SMT）</ns0:t>
        </ns0:is>
      </ns0:c>
      <ns0:c r="J59" s="17" t="inlineStr">
        <ns0:is>
          <ns0:t xml:space="preserve">JLCPCB 贴片</ns0:t>
        </ns0:is>
      </ns0:c>
      <ns0:c r="K59" s="14" t="inlineStr">
        <ns0:is>
          <ns0:t xml:space="preserve">个</ns0:t>
        </ns0:is>
      </ns0:c>
      <ns0:c r="L59" s="18" t="n">
        <ns0:v>1</ns0:v>
      </ns0:c>
      <ns0:c r="M59" s="19" t="n">
        <ns0:f>M56*L59</ns0:f>
        <ns0:v>1</ns0:v>
      </ns0:c>
      <ns0:c r="N59" s="14" t="inlineStr">
        <ns0:is>
          <ns0:t xml:space="preserve">已确定</ns0:t>
        </ns0:is>
      </ns0:c>
      <ns0:c r="O59" s="16" t="inlineStr">
        <ns0:is>
          <ns0:t xml:space="preserve">设计型号 FH34SRJ-4S-0.5SH(99)。同一连接器，(50) 为卷装。</ns0:t>
        </ns0:is>
      </ns0:c>
    </ns0:row>
    <ns0:row r="60" outlineLevel="1">
      <ns0:c r="A60" s="8" t="n">
        <ns0:v>1</ns0:v>
      </ns0:c>
      <ns0:c r="B60" s="8" t="inlineStr">
        <ns0:is>
          <ns0:t xml:space="preserve">1.3</ns0:t>
        </ns0:is>
      </ns0:c>
      <ns0:c r="C60" s="9" t="inlineStr">
        <ns0:is>
          <ns0:t xml:space="preserve">显示模组 2.16″ AMOLED 480×480（带触摸）</ns0:t>
        </ns0:is>
      </ns0:c>
      <ns0:c r="D60" s="10" t="inlineStr">
        <ns0:is>
          <ns0:t xml:space="preserve">华夏彩 H0216F002AMT003A V2：2.16″ LTPS-AMOLED，480RGB×480，QSPI 接口，驱动 IC CO5300，触摸 IC CST9220（I²C），31P 0.3 mm FPC；模组 40.29 × 41.09 × 0.8 mm，含盖板 44.09 × 45.39 mm，总厚 1.93 mm，亮度 700 cd/m²</ns0:t>
        </ns0:is>
      </ns0:c>
      <ns0:c r="E60" s="11" t="inlineStr">
        <ns0:is>
          <ns0:t xml:space="preserve">华夏彩光电（深圳）有限公司 Huaxia RGB</ns0:t>
        </ns0:is>
      </ns0:c>
      <ns0:c r="F60" s="11" t="inlineStr">
        <ns0:is>
          <ns0:t xml:space="preserve">H0216F002AMT003A V2</ns0:t>
        </ns0:is>
      </ns0:c>
      <ns0:c r="G60" s="11" t="inlineStr">
        <ns0:is>
          <ns0:t xml:space="preserve">H0216F002AMT003A V2</ns0:t>
        </ns0:is>
      </ns0:c>
      <ns0:c r="H60" s="10" t="inlineStr">
        <ns0:is>
          <ns0:t xml:space="preserve">插入主板 U3</ns0:t>
        </ns0:is>
      </ns0:c>
      <ns0:c r="I60" s="11" t="inlineStr">
        <ns0:is>
          <ns0:t xml:space="preserve">显示模组</ns0:t>
        </ns0:is>
      </ns0:c>
      <ns0:c r="J60" s="11" t="inlineStr">
        <ns0:is>
          <ns0:t xml:space="preserve">外购</ns0:t>
        </ns0:is>
      </ns0:c>
      <ns0:c r="K60" s="8" t="inlineStr">
        <ns0:is>
          <ns0:t xml:space="preserve">片</ns0:t>
        </ns0:is>
      </ns0:c>
      <ns0:c r="L60" s="12" t="n">
        <ns0:v>1</ns0:v>
      </ns0:c>
      <ns0:c r="M60" s="13" t="n">
        <ns0:f>M2*L60</ns0:f>
        <ns0:v>1</ns0:v>
      </ns0:c>
      <ns0:c r="N60" s="8" t="inlineStr">
        <ns0:is>
          <ns0:t xml:space="preserve">已确定</ns0:t>
        </ns0:is>
      </ns0:c>
      <ns0:c r="O60" s="10" t="inlineStr">
        <ns0:is>
          <ns0:t xml:space="preserve">规格书：hardware/rev-a/mechanical-source/display/H0216F002AMT003A_V2_specification.pdf（V2，2026-07-14 更改盖板尺寸）。FPC 插入主板 B 面 U3（8.03A5.031250）。</ns0:t>
        </ns0:is>
      </ns0:c>
    </ns0:row>
    <ns0:row r="61" outlineLevel="1">
      <ns0:c r="A61" s="8" t="n">
        <ns0:v>1</ns0:v>
      </ns0:c>
      <ns0:c r="B61" s="8" t="inlineStr">
        <ns0:is>
          <ns0:t xml:space="preserve">1.4</ns0:t>
        </ns0:is>
      </ns0:c>
      <ns0:c r="C61" s="9" t="inlineStr">
        <ns0:is>
          <ns0:t xml:space="preserve">板间 FPC 软排线 4P 0.5 mm（主板 J2 ↔ 编码器板 J1）</ns0:t>
        </ns0:is>
      </ns0:c>
      <ns0:c r="D61" s="10" t="inlineStr">
        <ns0:is>
          <ns0:t xml:space="preserve">4 位 0.5 mm 间距，两端加强板，端部厚 0.30 ± 0.03 mm，名义宽 2.5 mm；展开长度约 31.1 mm（端到端中心线），U 形弯折半径 ≈ 2.9 mm；引脚 1 GND、2 ENC_A、3 ENC_B、4 GND</ns0:t>
        </ns0:is>
      </ns0:c>
      <ns0:c r="E61" s="11" t="inlineStr">
        <ns0:is>
          <ns0:t xml:space="preserve">待选</ns0:t>
        </ns0:is>
      </ns0:c>
      <ns0:c r="F61" s="11" t="inlineStr">
        <ns0:is>
          <ns0:t xml:space="preserve">待定</ns0:t>
        </ns0:is>
      </ns0:c>
      <ns0:c r="G61" s="11" t="inlineStr">
        <ns0:is>
          <ns0:t xml:space="preserve">待定</ns0:t>
        </ns0:is>
      </ns0:c>
      <ns0:c r="H61" s="10" t="inlineStr">
        <ns0:is>
          <ns0:t xml:space="preserve">主板 J2 ↔ 编码器 J1</ns0:t>
        </ns0:is>
      </ns0:c>
      <ns0:c r="I61" s="11" t="inlineStr">
        <ns0:is>
          <ns0:t xml:space="preserve">线材</ns0:t>
        </ns0:is>
      </ns0:c>
      <ns0:c r="J61" s="11" t="inlineStr">
        <ns0:is>
          <ns0:t xml:space="preserve">外购/定制</ns0:t>
        </ns0:is>
      </ns0:c>
      <ns0:c r="K61" s="8" t="inlineStr">
        <ns0:is>
          <ns0:t xml:space="preserve">条</ns0:t>
        </ns0:is>
      </ns0:c>
      <ns0:c r="L61" s="12" t="n">
        <ns0:v>1</ns0:v>
      </ns0:c>
      <ns0:c r="M61" s="13" t="n">
        <ns0:f>M2*L61</ns0:f>
        <ns0:v>1</ns0:v>
      </ns0:c>
      <ns0:c r="N61" s="21" t="inlineStr">
        <ns0:is>
          <ns0:t xml:space="preserve">待确认</ns0:t>
        </ns0:is>
      </ns0:c>
      <ns0:c r="O61" s="10" t="inlineStr">
        <ns0:is>
          <ns0:t xml:space="preserve">尺寸来自 assembly-notes/cable-concept.json（r4 概念，非正式柔性板图纸）。两板 F 面同向且走线为 U 形，推断两端触点在异面（Type B）；下单前按装配路径复核触点朝向与长度（HW-009）。</ns0:t>
        </ns0:is>
      </ns0:c>
    </ns0:row>
    <ns0:row r="62" outlineLevel="1">
      <ns0:c r="A62" s="8" t="n">
        <ns0:v>1</ns0:v>
      </ns0:c>
      <ns0:c r="B62" s="8" t="inlineStr">
        <ns0:is>
          <ns0:t xml:space="preserve">1.5</ns0:t>
        </ns0:is>
      </ns0:c>
      <ns0:c r="C62" s="9" t="inlineStr">
        <ns0:is>
          <ns0:t xml:space="preserve">锂聚合物电池 702040 3.7 V 500 mAh（带保护板、NTC、插头）</ns0:t>
        </ns0:is>
      </ns0:c>
      <ns0:c r="D62" s="10" t="inlineStr">
        <ns0:is>
          <ns0:t xml:space="preserve">型号 702040（7.0 × 20 × 40 mm），3.7 V 单节，标称 500 mAh，带保护板；内置 10 kΩ NTC；3 线引出，插头 Molex 51021-0300（MX1.25 3P）：1 电池+、2 NTC、3 GND（与主板 J3 对应）</ns0:t>
        </ns0:is>
      </ns0:c>
      <ns0:c r="E62" s="11" t="inlineStr">
        <ns0:is>
          <ns0:t xml:space="preserve">待选</ns0:t>
        </ns0:is>
      </ns0:c>
      <ns0:c r="F62" s="11" t="inlineStr">
        <ns0:is>
          <ns0:t xml:space="preserve">702040</ns0:t>
        </ns0:is>
      </ns0:c>
      <ns0:c r="G62" s="11" t="inlineStr">
        <ns0:is>
          <ns0:t xml:space="preserve">待定</ns0:t>
        </ns0:is>
      </ns0:c>
      <ns0:c r="H62" s="10" t="inlineStr">
        <ns0:is>
          <ns0:t xml:space="preserve">插入主板 J3</ns0:t>
        </ns0:is>
      </ns0:c>
      <ns0:c r="I62" s="11" t="inlineStr">
        <ns0:is>
          <ns0:t xml:space="preserve">电池</ns0:t>
        </ns0:is>
      </ns0:c>
      <ns0:c r="J62" s="11" t="inlineStr">
        <ns0:is>
          <ns0:t xml:space="preserve">外购/定制</ns0:t>
        </ns0:is>
      </ns0:c>
      <ns0:c r="K62" s="8" t="inlineStr">
        <ns0:is>
          <ns0:t xml:space="preserve">只</ns0:t>
        </ns0:is>
      </ns0:c>
      <ns0:c r="L62" s="12" t="n">
        <ns0:v>1</ns0:v>
      </ns0:c>
      <ns0:c r="M62" s="13" t="n">
        <ns0:f>M2*L62</ns0:f>
        <ns0:v>1</ns0:v>
      </ns0:c>
      <ns0:c r="N62" s="21" t="inlineStr">
        <ns0:is>
          <ns0:t xml:space="preserve">待确认</ns0:t>
        </ns0:is>
      </ns0:c>
      <ns0:c r="O62" s="10" t="str">
        <ns0:v>用户指定 702040 / 3.7 V / 500 mAh（2026-10-10）。NTC 必须为 10 kΩ（BQ24073 TS 输入；100k 会被判为低温不充电）。充电电流 247 mA ≈ 0.5C，核对电芯允许的充电倍率；引线长度、保护板参数按供应商规格确认。文档中早期原型电芯为 450 mAh（HW-006），非本型号。</ns0:v>
      </ns0:c>
    </ns0:row>
    <ns0:row r="63" outlineLevel="1">
      <ns0:c r="A63" s="8" t="n">
        <ns0:v>1</ns0:v>
      </ns0:c>
      <ns0:c r="B63" s="8" t="inlineStr">
        <ns0:is>
          <ns0:t xml:space="preserve">1.6</ns0:t>
        </ns0:is>
      </ns0:c>
      <ns0:c r="C63" s="9" t="inlineStr">
        <ns0:is>
          <ns0:t xml:space="preserve">扬声器（带引线和插头）</ns0:t>
        </ns0:is>
      </ns0:c>
      <ns0:c r="D63" s="10" t="inlineStr">
        <ns0:is>
          <ns0:t xml:space="preserve">4 Ω 微型扬声器（尺寸/额定功率待定），2 线引出，插头 Molex 51021-0200（MX1.25 2P），接主板 J1；由 NS4150B BTL 驱动，两根引线均带电</ns0:t>
        </ns0:is>
      </ns0:c>
      <ns0:c r="E63" s="11" t="inlineStr">
        <ns0:is>
          <ns0:t xml:space="preserve">待选</ns0:t>
        </ns0:is>
      </ns0:c>
      <ns0:c r="F63" s="11" t="inlineStr">
        <ns0:is>
          <ns0:t xml:space="preserve">待定</ns0:t>
        </ns0:is>
      </ns0:c>
      <ns0:c r="G63" s="11" t="inlineStr">
        <ns0:is>
          <ns0:t xml:space="preserve">待定</ns0:t>
        </ns0:is>
      </ns0:c>
      <ns0:c r="H63" s="10" t="inlineStr">
        <ns0:is>
          <ns0:t xml:space="preserve">插入主板 J1</ns0:t>
        </ns0:is>
      </ns0:c>
      <ns0:c r="I63" s="11" t="inlineStr">
        <ns0:is>
          <ns0:t xml:space="preserve">扬声器</ns0:t>
        </ns0:is>
      </ns0:c>
      <ns0:c r="J63" s="11" t="inlineStr">
        <ns0:is>
          <ns0:t xml:space="preserve">外购/定制</ns0:t>
        </ns0:is>
      </ns0:c>
      <ns0:c r="K63" s="8" t="inlineStr">
        <ns0:is>
          <ns0:t xml:space="preserve">只</ns0:t>
        </ns0:is>
      </ns0:c>
      <ns0:c r="L63" s="12" t="n">
        <ns0:v>1</ns0:v>
      </ns0:c>
      <ns0:c r="M63" s="13" t="n">
        <ns0:f>M2*L63</ns0:f>
        <ns0:v>1</ns0:v>
      </ns0:c>
      <ns0:c r="N63" s="21" t="inlineStr">
        <ns0:is>
          <ns0:t xml:space="preserve">待确认</ns0:t>
        </ns0:is>
      </ns0:c>
      <ns0:c r="O63" s="10" t="inlineStr">
        <ns0:is>
          <ns0:t xml:space="preserve">仓库中无具体型号。docs/hardware-design-constraints.md（HW-006）：4 Ω/3 W 标称不代表单节供电下能输出 3 W。选型需与壳体前格栅配合。</ns0:t>
        </ns0:is>
      </ns0:c>
    </ns0:row>
    <ns0:row r="64" outlineLevel="1">
      <ns0:c r="A64" s="8" t="n">
        <ns0:v>1</ns0:v>
      </ns0:c>
      <ns0:c r="B64" s="8" t="inlineStr">
        <ns0:is>
          <ns0:t xml:space="preserve">1.7</ns0:t>
        </ns0:is>
      </ns0:c>
      <ns0:c r="C64" s="9" t="inlineStr">
        <ns0:is>
          <ns0:t xml:space="preserve">外壳结构件（3D 打印）BodyV6.13</ns0:t>
        </ns0:is>
      </ns0:c>
      <ns0:c r="D64" s="10" t="inlineStr">
        <ns0:is>
          <ns0:t xml:space="preserve">Fusion 设计 BodyV6.13（hardware/rev-a/mechanical-source/case/BodyV6.13.f3d / .step），导出含 8 个实体；后盖未在导出中</ns0:t>
        </ns0:is>
      </ns0:c>
      <ns0:c r="E64" s="11" t="inlineStr">
        <ns0:is>
          <ns0:t xml:space="preserve">Cohdl</ns0:t>
        </ns0:is>
      </ns0:c>
      <ns0:c r="F64" s="11" t="inlineStr">
        <ns0:is>
          <ns0:t xml:space="preserve">BodyV6.13</ns0:t>
        </ns0:is>
      </ns0:c>
      <ns0:c r="G64" s="11" t="inlineStr">
        <ns0:is>
          <ns0:t xml:space="preserve">BodyV6.13.step</ns0:t>
        </ns0:is>
      </ns0:c>
      <ns0:c r="H64" s="10" t="inlineStr">
        <ns0:is>
          <ns0:t xml:space="preserve"/>
        </ns0:is>
      </ns0:c>
      <ns0:c r="I64" s="11" t="inlineStr">
        <ns0:is>
          <ns0:t xml:space="preserve">子装配</ns0:t>
        </ns0:is>
      </ns0:c>
      <ns0:c r="J64" s="11" t="inlineStr">
        <ns0:is>
          <ns0:t xml:space="preserve">3D 打印</ns0:t>
        </ns0:is>
      </ns0:c>
      <ns0:c r="K64" s="8" t="inlineStr">
        <ns0:is>
          <ns0:t xml:space="preserve">套</ns0:t>
        </ns0:is>
      </ns0:c>
      <ns0:c r="L64" s="12" t="n">
        <ns0:v>1</ns0:v>
      </ns0:c>
      <ns0:c r="M64" s="13" t="n">
        <ns0:f>M2*L64</ns0:f>
        <ns0:v>1</ns0:v>
      </ns0:c>
      <ns0:c r="N64" s="21" t="inlineStr">
        <ns0:is>
          <ns0:t xml:space="preserve">待确认</ns0:t>
        </ns0:is>
      </ns0:c>
      <ns0:c r="O64" s="10" t="inlineStr">
        <ns0:is>
          <ns0:t xml:space="preserve">打印材料与工艺未在仓库中指定（待定）。拨轮六角轴尺寸小，建议树脂（SLA/MJF）打印。</ns0:t>
        </ns0:is>
      </ns0:c>
    </ns0:row>
    <ns0:row r="65" outlineLevel="2">
      <ns0:c r="A65" s="14" t="n">
        <ns0:v>2</ns0:v>
      </ns0:c>
      <ns0:c r="B65" s="14" t="inlineStr">
        <ns0:is>
          <ns0:t xml:space="preserve">1.7.1</ns0:t>
        </ns0:is>
      </ns0:c>
      <ns0:c r="C65" s="15" t="inlineStr">
        <ns0:is>
          <ns0:t xml:space="preserve">主壳体</ns0:t>
        </ns0:is>
      </ns0:c>
      <ns0:c r="D65" s="16" t="inlineStr">
        <ns0:is>
          <ns0:t xml:space="preserve">BodyV6.13 实体 “MainCase”</ns0:t>
        </ns0:is>
      </ns0:c>
      <ns0:c r="E65" s="17" t="inlineStr">
        <ns0:is>
          <ns0:t xml:space="preserve">Cohdl</ns0:t>
        </ns0:is>
      </ns0:c>
      <ns0:c r="F65" s="17" t="inlineStr">
        <ns0:is>
          <ns0:t xml:space="preserve">MainCase</ns0:t>
        </ns0:is>
      </ns0:c>
      <ns0:c r="G65" s="17" t="inlineStr">
        <ns0:is>
          <ns0:t xml:space="preserve">BodyV6.13.step</ns0:t>
        </ns0:is>
      </ns0:c>
      <ns0:c r="H65" s="16" t="inlineStr">
        <ns0:is>
          <ns0:t xml:space="preserve"/>
        </ns0:is>
      </ns0:c>
      <ns0:c r="I65" s="17" t="inlineStr">
        <ns0:is>
          <ns0:t xml:space="preserve">结构件（3D 打印）</ns0:t>
        </ns0:is>
      </ns0:c>
      <ns0:c r="J65" s="17" t="inlineStr">
        <ns0:is>
          <ns0:t xml:space="preserve">3D 打印</ns0:t>
        </ns0:is>
      </ns0:c>
      <ns0:c r="K65" s="14" t="inlineStr">
        <ns0:is>
          <ns0:t xml:space="preserve">个</ns0:t>
        </ns0:is>
      </ns0:c>
      <ns0:c r="L65" s="18" t="n">
        <ns0:v>1</ns0:v>
      </ns0:c>
      <ns0:c r="M65" s="19" t="n">
        <ns0:f>M64*L65</ns0:f>
        <ns0:v>1</ns0:v>
      </ns0:c>
      <ns0:c r="N65" s="14" t="inlineStr">
        <ns0:is>
          <ns0:t xml:space="preserve">已确定</ns0:t>
        </ns0:is>
      </ns0:c>
      <ns0:c r="O65" s="16" t="inlineStr">
        <ns0:is>
          <ns0:t xml:space="preserve">含显示窗口、麦克风声柱、天线角、右侧 M2 螺钉凸台（Ø1.75 盲导孔）、主板角柱与座块；显示模组用 B-7000 胶粘接。</ns0:t>
        </ns0:is>
      </ns0:c>
    </ns0:row>
    <ns0:row r="66" outlineLevel="2">
      <ns0:c r="A66" s="14" t="n">
        <ns0:v>2</ns0:v>
      </ns0:c>
      <ns0:c r="B66" s="14" t="inlineStr">
        <ns0:is>
          <ns0:t xml:space="preserve">1.7.2</ns0:t>
        </ns0:is>
      </ns0:c>
      <ns0:c r="C66" s="15" t="inlineStr">
        <ns0:is>
          <ns0:t xml:space="preserve">后盖</ns0:t>
        </ns0:is>
      </ns0:c>
      <ns0:c r="D66" s="16" t="inlineStr">
        <ns0:is>
          <ns0:t xml:space="preserve">BodyV6.13 实体 “（未导出）”</ns0:t>
        </ns0:is>
      </ns0:c>
      <ns0:c r="E66" s="17" t="inlineStr">
        <ns0:is>
          <ns0:t xml:space="preserve">Cohdl</ns0:t>
        </ns0:is>
      </ns0:c>
      <ns0:c r="F66" s="17" t="inlineStr">
        <ns0:is>
          <ns0:t xml:space="preserve">（未导出）</ns0:t>
        </ns0:is>
      </ns0:c>
      <ns0:c r="G66" s="17" t="inlineStr">
        <ns0:is>
          <ns0:t xml:space="preserve">BodyV6.13.step</ns0:t>
        </ns0:is>
      </ns0:c>
      <ns0:c r="H66" s="16" t="inlineStr">
        <ns0:is>
          <ns0:t xml:space="preserve"/>
        </ns0:is>
      </ns0:c>
      <ns0:c r="I66" s="17" t="inlineStr">
        <ns0:is>
          <ns0:t xml:space="preserve">结构件（3D 打印）</ns0:t>
        </ns0:is>
      </ns0:c>
      <ns0:c r="J66" s="17" t="inlineStr">
        <ns0:is>
          <ns0:t xml:space="preserve">3D 打印</ns0:t>
        </ns0:is>
      </ns0:c>
      <ns0:c r="K66" s="14" t="inlineStr">
        <ns0:is>
          <ns0:t xml:space="preserve">个</ns0:t>
        </ns0:is>
      </ns0:c>
      <ns0:c r="L66" s="18" t="n">
        <ns0:v>1</ns0:v>
      </ns0:c>
      <ns0:c r="M66" s="19" t="n">
        <ns0:f>M64*L66</ns0:f>
        <ns0:v>1</ns0:v>
      </ns0:c>
      <ns0:c r="N66" s="20" t="inlineStr">
        <ns0:is>
          <ns0:t xml:space="preserve">待确认</ns0:t>
        </ns0:is>
      </ns0:c>
      <ns0:c r="O66" s="16" t="inlineStr">
        <ns0:is>
          <ns0:t xml:space="preserve">BodyV6.13 导出为 8 个实体而非 9 个，后盖缺失；ENC1 穿后盖及编码器板 MH2 定位柱/后盖凸台配合未验证。需导出后补充。</ns0:t>
        </ns0:is>
      </ns0:c>
    </ns0:row>
    <ns0:row r="67" outlineLevel="2">
      <ns0:c r="A67" s="14" t="n">
        <ns0:v>2</ns0:v>
      </ns0:c>
      <ns0:c r="B67" s="14" t="inlineStr">
        <ns0:is>
          <ns0:t xml:space="preserve">1.7.3</ns0:t>
        </ns0:is>
      </ns0:c>
      <ns0:c r="C67" s="15" t="inlineStr">
        <ns0:is>
          <ns0:t xml:space="preserve">拨轮</ns0:t>
        </ns0:is>
      </ns0:c>
      <ns0:c r="D67" s="16" t="inlineStr">
        <ns0:is>
          <ns0:t xml:space="preserve">BodyV6.13 实体 “Wheel”</ns0:t>
        </ns0:is>
      </ns0:c>
      <ns0:c r="E67" s="17" t="inlineStr">
        <ns0:is>
          <ns0:t xml:space="preserve">Cohdl</ns0:t>
        </ns0:is>
      </ns0:c>
      <ns0:c r="F67" s="17" t="inlineStr">
        <ns0:is>
          <ns0:t xml:space="preserve">Wheel</ns0:t>
        </ns0:is>
      </ns0:c>
      <ns0:c r="G67" s="17" t="inlineStr">
        <ns0:is>
          <ns0:t xml:space="preserve">BodyV6.13.step</ns0:t>
        </ns0:is>
      </ns0:c>
      <ns0:c r="H67" s="16" t="inlineStr">
        <ns0:is>
          <ns0:t xml:space="preserve"/>
        </ns0:is>
      </ns0:c>
      <ns0:c r="I67" s="17" t="inlineStr">
        <ns0:is>
          <ns0:t xml:space="preserve">结构件（3D 打印）</ns0:t>
        </ns0:is>
      </ns0:c>
      <ns0:c r="J67" s="17" t="inlineStr">
        <ns0:is>
          <ns0:t xml:space="preserve">3D 打印</ns0:t>
        </ns0:is>
      </ns0:c>
      <ns0:c r="K67" s="14" t="inlineStr">
        <ns0:is>
          <ns0:t xml:space="preserve">个</ns0:t>
        </ns0:is>
      </ns0:c>
      <ns0:c r="L67" s="18" t="n">
        <ns0:v>1</ns0:v>
      </ns0:c>
      <ns0:c r="M67" s="19" t="n">
        <ns0:f>M64*L67</ns0:f>
        <ns0:v>1</ns0:v>
      </ns0:c>
      <ns0:c r="N67" s="14" t="inlineStr">
        <ns0:is>
          <ns0:t xml:space="preserve">已确定</ns0:t>
        </ns0:is>
      </ns0:c>
      <ns0:c r="O67" s="16" t="inlineStr">
        <ns0:is>
          <ns0:t xml:space="preserve">标准拨轮：Ø17，六角轴 1.905 mm 对边穿编码器板入 ENC1。若选 encoder-wheel 板，改用 encoder-wheel/mechanical/wheel-with-encoder-cavity-bodyv6.13.step（Ø10.6 腔，六角 1.68 对边，需树脂/MJF）。</ns0:t>
        </ns0:is>
      </ns0:c>
    </ns0:row>
    <ns0:row r="68" outlineLevel="2">
      <ns0:c r="A68" s="14" t="n">
        <ns0:v>2</ns0:v>
      </ns0:c>
      <ns0:c r="B68" s="14" t="inlineStr">
        <ns0:is>
          <ns0:t xml:space="preserve">1.7.4</ns0:t>
        </ns0:is>
      </ns0:c>
      <ns0:c r="C68" s="15" t="inlineStr">
        <ns0:is>
          <ns0:t xml:space="preserve">PTT 按键</ns0:t>
        </ns0:is>
      </ns0:c>
      <ns0:c r="D68" s="16" t="inlineStr">
        <ns0:is>
          <ns0:t xml:space="preserve">BodyV6.13 实体 “PushToTalk”</ns0:t>
        </ns0:is>
      </ns0:c>
      <ns0:c r="E68" s="17" t="inlineStr">
        <ns0:is>
          <ns0:t xml:space="preserve">Cohdl</ns0:t>
        </ns0:is>
      </ns0:c>
      <ns0:c r="F68" s="17" t="inlineStr">
        <ns0:is>
          <ns0:t xml:space="preserve">PushToTalk</ns0:t>
        </ns0:is>
      </ns0:c>
      <ns0:c r="G68" s="17" t="inlineStr">
        <ns0:is>
          <ns0:t xml:space="preserve">BodyV6.13.step</ns0:t>
        </ns0:is>
      </ns0:c>
      <ns0:c r="H68" s="16" t="inlineStr">
        <ns0:is>
          <ns0:t xml:space="preserve"/>
        </ns0:is>
      </ns0:c>
      <ns0:c r="I68" s="17" t="inlineStr">
        <ns0:is>
          <ns0:t xml:space="preserve">结构件（3D 打印）</ns0:t>
        </ns0:is>
      </ns0:c>
      <ns0:c r="J68" s="17" t="inlineStr">
        <ns0:is>
          <ns0:t xml:space="preserve">3D 打印</ns0:t>
        </ns0:is>
      </ns0:c>
      <ns0:c r="K68" s="14" t="inlineStr">
        <ns0:is>
          <ns0:t xml:space="preserve">个</ns0:t>
        </ns0:is>
      </ns0:c>
      <ns0:c r="L68" s="18" t="n">
        <ns0:v>1</ns0:v>
      </ns0:c>
      <ns0:c r="M68" s="19" t="n">
        <ns0:f>M64*L68</ns0:f>
        <ns0:v>1</ns0:v>
      </ns0:c>
      <ns0:c r="N68" s="14" t="inlineStr">
        <ns0:is>
          <ns0:t xml:space="preserve">已确定</ns0:t>
        </ns0:is>
      </ns0:c>
      <ns0:c r="O68" s="16" t="inlineStr">
        <ns0:is>
          <ns0:t xml:space="preserve">右侧，压 SW5。</ns0:t>
        </ns0:is>
      </ns0:c>
    </ns0:row>
    <ns0:row r="69" outlineLevel="2">
      <ns0:c r="A69" s="14" t="n">
        <ns0:v>2</ns0:v>
      </ns0:c>
      <ns0:c r="B69" s="14" t="inlineStr">
        <ns0:is>
          <ns0:t xml:space="preserve">1.7.5</ns0:t>
        </ns0:is>
      </ns0:c>
      <ns0:c r="C69" s="15" t="inlineStr">
        <ns0:is>
          <ns0:t xml:space="preserve">Shift 按键</ns0:t>
        </ns0:is>
      </ns0:c>
      <ns0:c r="D69" s="16" t="inlineStr">
        <ns0:is>
          <ns0:t xml:space="preserve">BodyV6.13 实体 “Shift”</ns0:t>
        </ns0:is>
      </ns0:c>
      <ns0:c r="E69" s="17" t="inlineStr">
        <ns0:is>
          <ns0:t xml:space="preserve">Cohdl</ns0:t>
        </ns0:is>
      </ns0:c>
      <ns0:c r="F69" s="17" t="inlineStr">
        <ns0:is>
          <ns0:t xml:space="preserve">Shift</ns0:t>
        </ns0:is>
      </ns0:c>
      <ns0:c r="G69" s="17" t="inlineStr">
        <ns0:is>
          <ns0:t xml:space="preserve">BodyV6.13.step</ns0:t>
        </ns0:is>
      </ns0:c>
      <ns0:c r="H69" s="16" t="inlineStr">
        <ns0:is>
          <ns0:t xml:space="preserve"/>
        </ns0:is>
      </ns0:c>
      <ns0:c r="I69" s="17" t="inlineStr">
        <ns0:is>
          <ns0:t xml:space="preserve">结构件（3D 打印）</ns0:t>
        </ns0:is>
      </ns0:c>
      <ns0:c r="J69" s="17" t="inlineStr">
        <ns0:is>
          <ns0:t xml:space="preserve">3D 打印</ns0:t>
        </ns0:is>
      </ns0:c>
      <ns0:c r="K69" s="14" t="inlineStr">
        <ns0:is>
          <ns0:t xml:space="preserve">个</ns0:t>
        </ns0:is>
      </ns0:c>
      <ns0:c r="L69" s="18" t="n">
        <ns0:v>1</ns0:v>
      </ns0:c>
      <ns0:c r="M69" s="19" t="n">
        <ns0:f>M64*L69</ns0:f>
        <ns0:v>1</ns0:v>
      </ns0:c>
      <ns0:c r="N69" s="14" t="inlineStr">
        <ns0:is>
          <ns0:t xml:space="preserve">已确定</ns0:t>
        </ns0:is>
      </ns0:c>
      <ns0:c r="O69" s="16" t="inlineStr">
        <ns0:is>
          <ns0:t xml:space="preserve">左侧，压 SW6。</ns0:t>
        </ns0:is>
      </ns0:c>
    </ns0:row>
    <ns0:row r="70" outlineLevel="2">
      <ns0:c r="A70" s="14" t="n">
        <ns0:v>2</ns0:v>
      </ns0:c>
      <ns0:c r="B70" s="14" t="inlineStr">
        <ns0:is>
          <ns0:t xml:space="preserve">1.7.6</ns0:t>
        </ns0:is>
      </ns0:c>
      <ns0:c r="C70" s="15" t="inlineStr">
        <ns0:is>
          <ns0:t xml:space="preserve">Enter 按键</ns0:t>
        </ns0:is>
      </ns0:c>
      <ns0:c r="D70" s="16" t="inlineStr">
        <ns0:is>
          <ns0:t xml:space="preserve">BodyV6.13 实体 “Enter”</ns0:t>
        </ns0:is>
      </ns0:c>
      <ns0:c r="E70" s="17" t="inlineStr">
        <ns0:is>
          <ns0:t xml:space="preserve">Cohdl</ns0:t>
        </ns0:is>
      </ns0:c>
      <ns0:c r="F70" s="17" t="inlineStr">
        <ns0:is>
          <ns0:t xml:space="preserve">Enter</ns0:t>
        </ns0:is>
      </ns0:c>
      <ns0:c r="G70" s="17" t="inlineStr">
        <ns0:is>
          <ns0:t xml:space="preserve">BodyV6.13.step</ns0:t>
        </ns0:is>
      </ns0:c>
      <ns0:c r="H70" s="16" t="inlineStr">
        <ns0:is>
          <ns0:t xml:space="preserve"/>
        </ns0:is>
      </ns0:c>
      <ns0:c r="I70" s="17" t="inlineStr">
        <ns0:is>
          <ns0:t xml:space="preserve">结构件（3D 打印）</ns0:t>
        </ns0:is>
      </ns0:c>
      <ns0:c r="J70" s="17" t="inlineStr">
        <ns0:is>
          <ns0:t xml:space="preserve">3D 打印</ns0:t>
        </ns0:is>
      </ns0:c>
      <ns0:c r="K70" s="14" t="inlineStr">
        <ns0:is>
          <ns0:t xml:space="preserve">个</ns0:t>
        </ns0:is>
      </ns0:c>
      <ns0:c r="L70" s="18" t="n">
        <ns0:v>1</ns0:v>
      </ns0:c>
      <ns0:c r="M70" s="19" t="n">
        <ns0:f>M64*L70</ns0:f>
        <ns0:v>1</ns0:v>
      </ns0:c>
      <ns0:c r="N70" s="14" t="inlineStr">
        <ns0:is>
          <ns0:t xml:space="preserve">已确定</ns0:t>
        </ns0:is>
      </ns0:c>
      <ns0:c r="O70" s="16" t="inlineStr">
        <ns0:is>
          <ns0:t xml:space="preserve">左侧，压 SW1。</ns0:t>
        </ns0:is>
      </ns0:c>
    </ns0:row>
    <ns0:row r="71" outlineLevel="2">
      <ns0:c r="A71" s="14" t="n">
        <ns0:v>2</ns0:v>
      </ns0:c>
      <ns0:c r="B71" s="14" t="inlineStr">
        <ns0:is>
          <ns0:t xml:space="preserve">1.7.7</ns0:t>
        </ns0:is>
      </ns0:c>
      <ns0:c r="C71" s="15" t="inlineStr">
        <ns0:is>
          <ns0:t xml:space="preserve">Cancel 按键</ns0:t>
        </ns0:is>
      </ns0:c>
      <ns0:c r="D71" s="16" t="inlineStr">
        <ns0:is>
          <ns0:t xml:space="preserve">BodyV6.13 实体 “Cancel”</ns0:t>
        </ns0:is>
      </ns0:c>
      <ns0:c r="E71" s="17" t="inlineStr">
        <ns0:is>
          <ns0:t xml:space="preserve">Cohdl</ns0:t>
        </ns0:is>
      </ns0:c>
      <ns0:c r="F71" s="17" t="inlineStr">
        <ns0:is>
          <ns0:t xml:space="preserve">Cancel</ns0:t>
        </ns0:is>
      </ns0:c>
      <ns0:c r="G71" s="17" t="inlineStr">
        <ns0:is>
          <ns0:t xml:space="preserve">BodyV6.13.step</ns0:t>
        </ns0:is>
      </ns0:c>
      <ns0:c r="H71" s="16" t="inlineStr">
        <ns0:is>
          <ns0:t xml:space="preserve"/>
        </ns0:is>
      </ns0:c>
      <ns0:c r="I71" s="17" t="inlineStr">
        <ns0:is>
          <ns0:t xml:space="preserve">结构件（3D 打印）</ns0:t>
        </ns0:is>
      </ns0:c>
      <ns0:c r="J71" s="17" t="inlineStr">
        <ns0:is>
          <ns0:t xml:space="preserve">3D 打印</ns0:t>
        </ns0:is>
      </ns0:c>
      <ns0:c r="K71" s="14" t="inlineStr">
        <ns0:is>
          <ns0:t xml:space="preserve">个</ns0:t>
        </ns0:is>
      </ns0:c>
      <ns0:c r="L71" s="18" t="n">
        <ns0:v>1</ns0:v>
      </ns0:c>
      <ns0:c r="M71" s="19" t="n">
        <ns0:f>M64*L71</ns0:f>
        <ns0:v>1</ns0:v>
      </ns0:c>
      <ns0:c r="N71" s="14" t="inlineStr">
        <ns0:is>
          <ns0:t xml:space="preserve">已确定</ns0:t>
        </ns0:is>
      </ns0:c>
      <ns0:c r="O71" s="16" t="inlineStr">
        <ns0:is>
          <ns0:t xml:space="preserve">左侧，压 SW2（ESC）。</ns0:t>
        </ns0:is>
      </ns0:c>
    </ns0:row>
    <ns0:row r="72" outlineLevel="2">
      <ns0:c r="A72" s="14" t="n">
        <ns0:v>2</ns0:v>
      </ns0:c>
      <ns0:c r="B72" s="14" t="inlineStr">
        <ns0:is>
          <ns0:t xml:space="preserve">1.7.8</ns0:t>
        </ns0:is>
      </ns0:c>
      <ns0:c r="C72" s="15" t="inlineStr">
        <ns0:is>
          <ns0:t xml:space="preserve">左前按键 Left</ns0:t>
        </ns0:is>
      </ns0:c>
      <ns0:c r="D72" s="16" t="inlineStr">
        <ns0:is>
          <ns0:t xml:space="preserve">BodyV6.13 实体 “Left”</ns0:t>
        </ns0:is>
      </ns0:c>
      <ns0:c r="E72" s="17" t="inlineStr">
        <ns0:is>
          <ns0:t xml:space="preserve">Cohdl</ns0:t>
        </ns0:is>
      </ns0:c>
      <ns0:c r="F72" s="17" t="inlineStr">
        <ns0:is>
          <ns0:t xml:space="preserve">Left</ns0:t>
        </ns0:is>
      </ns0:c>
      <ns0:c r="G72" s="17" t="inlineStr">
        <ns0:is>
          <ns0:t xml:space="preserve">BodyV6.13.step</ns0:t>
        </ns0:is>
      </ns0:c>
      <ns0:c r="H72" s="16" t="inlineStr">
        <ns0:is>
          <ns0:t xml:space="preserve"/>
        </ns0:is>
      </ns0:c>
      <ns0:c r="I72" s="17" t="inlineStr">
        <ns0:is>
          <ns0:t xml:space="preserve">结构件（3D 打印）</ns0:t>
        </ns0:is>
      </ns0:c>
      <ns0:c r="J72" s="17" t="inlineStr">
        <ns0:is>
          <ns0:t xml:space="preserve">3D 打印</ns0:t>
        </ns0:is>
      </ns0:c>
      <ns0:c r="K72" s="14" t="inlineStr">
        <ns0:is>
          <ns0:t xml:space="preserve">个</ns0:t>
        </ns0:is>
      </ns0:c>
      <ns0:c r="L72" s="18" t="n">
        <ns0:v>1</ns0:v>
      </ns0:c>
      <ns0:c r="M72" s="19" t="n">
        <ns0:f>M64*L72</ns0:f>
        <ns0:v>1</ns0:v>
      </ns0:c>
      <ns0:c r="N72" s="14" t="inlineStr">
        <ns0:is>
          <ns0:t xml:space="preserve">已确定</ns0:t>
        </ns0:is>
      </ns0:c>
      <ns0:c r="O72" s="16" t="inlineStr">
        <ns0:is>
          <ns0:t xml:space="preserve">前面，压 SW3（MACRO_LEFT）。</ns0:t>
        </ns0:is>
      </ns0:c>
    </ns0:row>
    <ns0:row r="73" outlineLevel="2">
      <ns0:c r="A73" s="14" t="n">
        <ns0:v>2</ns0:v>
      </ns0:c>
      <ns0:c r="B73" s="14" t="inlineStr">
        <ns0:is>
          <ns0:t xml:space="preserve">1.7.9</ns0:t>
        </ns0:is>
      </ns0:c>
      <ns0:c r="C73" s="15" t="inlineStr">
        <ns0:is>
          <ns0:t xml:space="preserve">右前按键 Right</ns0:t>
        </ns0:is>
      </ns0:c>
      <ns0:c r="D73" s="16" t="inlineStr">
        <ns0:is>
          <ns0:t xml:space="preserve">BodyV6.13 实体 “Right”</ns0:t>
        </ns0:is>
      </ns0:c>
      <ns0:c r="E73" s="17" t="inlineStr">
        <ns0:is>
          <ns0:t xml:space="preserve">Cohdl</ns0:t>
        </ns0:is>
      </ns0:c>
      <ns0:c r="F73" s="17" t="inlineStr">
        <ns0:is>
          <ns0:t xml:space="preserve">Right</ns0:t>
        </ns0:is>
      </ns0:c>
      <ns0:c r="G73" s="17" t="inlineStr">
        <ns0:is>
          <ns0:t xml:space="preserve">BodyV6.13.step</ns0:t>
        </ns0:is>
      </ns0:c>
      <ns0:c r="H73" s="16" t="inlineStr">
        <ns0:is>
          <ns0:t xml:space="preserve"/>
        </ns0:is>
      </ns0:c>
      <ns0:c r="I73" s="17" t="inlineStr">
        <ns0:is>
          <ns0:t xml:space="preserve">结构件（3D 打印）</ns0:t>
        </ns0:is>
      </ns0:c>
      <ns0:c r="J73" s="17" t="inlineStr">
        <ns0:is>
          <ns0:t xml:space="preserve">3D 打印</ns0:t>
        </ns0:is>
      </ns0:c>
      <ns0:c r="K73" s="14" t="inlineStr">
        <ns0:is>
          <ns0:t xml:space="preserve">个</ns0:t>
        </ns0:is>
      </ns0:c>
      <ns0:c r="L73" s="18" t="n">
        <ns0:v>1</ns0:v>
      </ns0:c>
      <ns0:c r="M73" s="19" t="n">
        <ns0:f>M64*L73</ns0:f>
        <ns0:v>1</ns0:v>
      </ns0:c>
      <ns0:c r="N73" s="14" t="inlineStr">
        <ns0:is>
          <ns0:t xml:space="preserve">已确定</ns0:t>
        </ns0:is>
      </ns0:c>
      <ns0:c r="O73" s="16" t="inlineStr">
        <ns0:is>
          <ns0:t xml:space="preserve">前面，压 SW4（MACRO_RIGHT）。</ns0:t>
        </ns0:is>
      </ns0:c>
    </ns0:row>
    <ns0:row r="74" outlineLevel="1">
      <ns0:c r="A74" s="8" t="n">
        <ns0:v>1</ns0:v>
      </ns0:c>
      <ns0:c r="B74" s="8" t="inlineStr">
        <ns0:is>
          <ns0:t xml:space="preserve">1.8</ns0:t>
        </ns0:is>
      </ns0:c>
      <ns0:c r="C74" s="9" t="inlineStr">
        <ns0:is>
          <ns0:t xml:space="preserve">紧固件</ns0:t>
        </ns0:is>
      </ns0:c>
      <ns0:c r="D74" s="10" t="inlineStr">
        <ns0:is>
          <ns0:t xml:space="preserve">M2×4 螺钉两种头型（用户指定 2026-10-10）</ns0:t>
        </ns0:is>
      </ns0:c>
      <ns0:c r="E74" s="11" t="inlineStr">
        <ns0:is>
          <ns0:t xml:space="preserve"/>
        </ns0:is>
      </ns0:c>
      <ns0:c r="F74" s="11" t="inlineStr">
        <ns0:is>
          <ns0:t xml:space="preserve"/>
        </ns0:is>
      </ns0:c>
      <ns0:c r="G74" s="11" t="inlineStr">
        <ns0:is>
          <ns0:t xml:space="preserve"/>
        </ns0:is>
      </ns0:c>
      <ns0:c r="H74" s="10" t="inlineStr">
        <ns0:is>
          <ns0:t xml:space="preserve"/>
        </ns0:is>
      </ns0:c>
      <ns0:c r="I74" s="11" t="inlineStr">
        <ns0:is>
          <ns0:t xml:space="preserve">子装配</ns0:t>
        </ns0:is>
      </ns0:c>
      <ns0:c r="J74" s="11" t="inlineStr">
        <ns0:is>
          <ns0:t xml:space="preserve">外购</ns0:t>
        </ns0:is>
      </ns0:c>
      <ns0:c r="K74" s="8" t="inlineStr">
        <ns0:is>
          <ns0:t xml:space="preserve">套</ns0:t>
        </ns0:is>
      </ns0:c>
      <ns0:c r="L74" s="12" t="n">
        <ns0:v>1</ns0:v>
      </ns0:c>
      <ns0:c r="M74" s="13" t="n">
        <ns0:f>M2*L74</ns0:f>
        <ns0:v>1</ns0:v>
      </ns0:c>
      <ns0:c r="N74" s="21" t="inlineStr">
        <ns0:is>
          <ns0:t xml:space="preserve">待确认</ns0:t>
        </ns0:is>
      </ns0:c>
      <ns0:c r="O74" s="10" t="inlineStr">
        <ns0:is>
          <ns0:t xml:space="preserve">数量按装配位置点数核对。</ns0:t>
        </ns0:is>
      </ns0:c>
    </ns0:row>
    <ns0:row r="75" outlineLevel="2">
      <ns0:c r="A75" s="14" t="n">
        <ns0:v>2</ns0:v>
      </ns0:c>
      <ns0:c r="B75" s="14" t="inlineStr">
        <ns0:is>
          <ns0:t xml:space="preserve">1.8.1</ns0:t>
        </ns0:is>
      </ns0:c>
      <ns0:c r="C75" s="15" t="inlineStr">
        <ns0:is>
          <ns0:t xml:space="preserve">螺钉 M2×4 平头（PCB 与喇叭固定）</ns0:t>
        </ns0:is>
      </ns0:c>
      <ns0:c r="D75" s="16" t="inlineStr">
        <ns0:is>
          <ns0:t xml:space="preserve">M2 × 4 mm，平头，自攻/塑料用；固定主板（右侧 U 形槽 → 壳体凸台 (52.2, 52.0)）、编码器板（MH1 Ø2.6 → 座块）和扬声器</ns0:t>
        </ns0:is>
      </ns0:c>
      <ns0:c r="E75" s="17" t="inlineStr">
        <ns0:is>
          <ns0:t xml:space="preserve">待选</ns0:t>
        </ns0:is>
      </ns0:c>
      <ns0:c r="F75" s="17" t="inlineStr">
        <ns0:is>
          <ns0:t xml:space="preserve">M2x4 平头</ns0:t>
        </ns0:is>
      </ns0:c>
      <ns0:c r="G75" s="17" t="inlineStr">
        <ns0:is>
          <ns0:t xml:space="preserve">待定</ns0:t>
        </ns0:is>
      </ns0:c>
      <ns0:c r="H75" s="16" t="inlineStr">
        <ns0:is>
          <ns0:t xml:space="preserve">主板 U 槽 ×1、编码器板 MH1 ×1、扬声器 ×1（待核）</ns0:t>
        </ns0:is>
      </ns0:c>
      <ns0:c r="I75" s="17" t="inlineStr">
        <ns0:is>
          <ns0:t xml:space="preserve">紧固件</ns0:t>
        </ns0:is>
      </ns0:c>
      <ns0:c r="J75" s="17" t="inlineStr">
        <ns0:is>
          <ns0:t xml:space="preserve">外购</ns0:t>
        </ns0:is>
      </ns0:c>
      <ns0:c r="K75" s="14" t="inlineStr">
        <ns0:is>
          <ns0:t xml:space="preserve">颗</ns0:t>
        </ns0:is>
      </ns0:c>
      <ns0:c r="L75" s="18" t="n">
        <ns0:v>3</ns0:v>
      </ns0:c>
      <ns0:c r="M75" s="19" t="n">
        <ns0:f>M74*L75</ns0:f>
        <ns0:v>3</ns0:v>
      </ns0:c>
      <ns0:c r="N75" s="20" t="inlineStr">
        <ns0:is>
          <ns0:t xml:space="preserve">待确认</ns0:t>
        </ns0:is>
      </ns0:c>
      <ns0:c r="O75" s="16" t="inlineStr">
        <ns0:is>
          <ns0:t xml:space="preserve">用户指定 M2×4 平头。数量按 主板 1 + 编码器板 1 + 扬声器 1 估计，扬声器点数待核。注意 r6 README 对主板凸台的核算：板 F 面到导孔底 3.975 mm，M2×4 会顶底，M2×3 咬合 2.0 mm；凸台右侧肋条距螺钉轴 1.8 mm，头径需 ≤ Ø3.4 或在 Fusion 中局部让位。请按 BodyV6.13 现行 CAD 复核导孔深度与头部空间。</ns0:t>
        </ns0:is>
      </ns0:c>
    </ns0:row>
    <ns0:row r="76" outlineLevel="2">
      <ns0:c r="A76" s="14" t="n">
        <ns0:v>2</ns0:v>
      </ns0:c>
      <ns0:c r="B76" s="14" t="inlineStr">
        <ns0:is>
          <ns0:t xml:space="preserve">1.8.2</ns0:t>
        </ns0:is>
      </ns0:c>
      <ns0:c r="C76" s="15" t="inlineStr">
        <ns0:is>
          <ns0:t xml:space="preserve">螺钉 M2×4 沉头（背板固定）</ns0:t>
        </ns0:is>
      </ns0:c>
      <ns0:c r="D76" s="16" t="inlineStr">
        <ns0:is>
          <ns0:t xml:space="preserve">M2 × 4 mm，沉头（90°），自攻/塑料用；固定后盖/背板到主壳体</ns0:t>
        </ns0:is>
      </ns0:c>
      <ns0:c r="E76" s="17" t="inlineStr">
        <ns0:is>
          <ns0:t xml:space="preserve">待选</ns0:t>
        </ns0:is>
      </ns0:c>
      <ns0:c r="F76" s="17" t="inlineStr">
        <ns0:is>
          <ns0:t xml:space="preserve">M2x4 沉头</ns0:t>
        </ns0:is>
      </ns0:c>
      <ns0:c r="G76" s="17" t="inlineStr">
        <ns0:is>
          <ns0:t xml:space="preserve">待定</ns0:t>
        </ns0:is>
      </ns0:c>
      <ns0:c r="H76" s="16" t="inlineStr">
        <ns0:is>
          <ns0:t xml:space="preserve">后盖 → 主壳体（点数待核）</ns0:t>
        </ns0:is>
      </ns0:c>
      <ns0:c r="I76" s="17" t="inlineStr">
        <ns0:is>
          <ns0:t xml:space="preserve">紧固件</ns0:t>
        </ns0:is>
      </ns0:c>
      <ns0:c r="J76" s="17" t="inlineStr">
        <ns0:is>
          <ns0:t xml:space="preserve">外购</ns0:t>
        </ns0:is>
      </ns0:c>
      <ns0:c r="K76" s="14" t="inlineStr">
        <ns0:is>
          <ns0:t xml:space="preserve">颗</ns0:t>
        </ns0:is>
      </ns0:c>
      <ns0:c r="L76" s="18" t="n">
        <ns0:v>2</ns0:v>
      </ns0:c>
      <ns0:c r="M76" s="19" t="n">
        <ns0:f>M74*L76</ns0:f>
        <ns0:v>2</ns0:v>
      </ns0:c>
      <ns0:c r="N76" s="20" t="inlineStr">
        <ns0:is>
          <ns0:t xml:space="preserve">待确认</ns0:t>
        </ns0:is>
      </ns0:c>
      <ns0:c r="O76" s="16" t="inlineStr">
        <ns0:is>
          <ns0:t xml:space="preserve">用户指定 M2×4 沉头。后盖未在 BodyV6.13 导出中，螺钉点数按 2 估计，待后盖设计确定后更新；沉头孔需在后盖上做 90° 锪孔。</ns0:t>
        </ns0:is>
      </ns0:c>
    </ns0:row>
    <ns0:row r="77" outlineLevel="1">
      <ns0:c r="A77" s="8" t="n">
        <ns0:v>1</ns0:v>
      </ns0:c>
      <ns0:c r="B77" s="8" t="inlineStr">
        <ns0:is>
          <ns0:t xml:space="preserve">1.9</ns0:t>
        </ns0:is>
      </ns0:c>
      <ns0:c r="C77" s="9" t="inlineStr">
        <ns0:is>
          <ns0:t xml:space="preserve">辅料</ns0:t>
        </ns0:is>
      </ns0:c>
      <ns0:c r="D77" s="10" t="inlineStr">
        <ns0:is>
          <ns0:t xml:space="preserve"/>
        </ns0:is>
      </ns0:c>
      <ns0:c r="E77" s="11" t="inlineStr">
        <ns0:is>
          <ns0:t xml:space="preserve"/>
        </ns0:is>
      </ns0:c>
      <ns0:c r="F77" s="11" t="inlineStr">
        <ns0:is>
          <ns0:t xml:space="preserve"/>
        </ns0:is>
      </ns0:c>
      <ns0:c r="G77" s="11" t="inlineStr">
        <ns0:is>
          <ns0:t xml:space="preserve"/>
        </ns0:is>
      </ns0:c>
      <ns0:c r="H77" s="10" t="inlineStr">
        <ns0:is>
          <ns0:t xml:space="preserve"/>
        </ns0:is>
      </ns0:c>
      <ns0:c r="I77" s="11" t="inlineStr">
        <ns0:is>
          <ns0:t xml:space="preserve">子装配</ns0:t>
        </ns0:is>
      </ns0:c>
      <ns0:c r="J77" s="11" t="inlineStr">
        <ns0:is>
          <ns0:t xml:space="preserve">外购</ns0:t>
        </ns0:is>
      </ns0:c>
      <ns0:c r="K77" s="8" t="inlineStr">
        <ns0:is>
          <ns0:t xml:space="preserve">套</ns0:t>
        </ns0:is>
      </ns0:c>
      <ns0:c r="L77" s="12" t="n">
        <ns0:v>1</ns0:v>
      </ns0:c>
      <ns0:c r="M77" s="13" t="n">
        <ns0:f>M2*L77</ns0:f>
        <ns0:v>1</ns0:v>
      </ns0:c>
      <ns0:c r="N77" s="21" t="inlineStr">
        <ns0:is>
          <ns0:t xml:space="preserve">待确认</ns0:t>
        </ns0:is>
      </ns0:c>
      <ns0:c r="O77" s="10" t="inlineStr">
        <ns0:is>
          <ns0:t xml:space="preserve"/>
        </ns0:is>
      </ns0:c>
    </ns0:row>
    <ns0:row r="78" outlineLevel="2">
      <ns0:c r="A78" s="14" t="n">
        <ns0:v>2</ns0:v>
      </ns0:c>
      <ns0:c r="B78" s="14" t="inlineStr">
        <ns0:is>
          <ns0:t xml:space="preserve">1.9.1</ns0:t>
        </ns0:is>
      </ns0:c>
      <ns0:c r="C78" s="15" t="inlineStr">
        <ns0:is>
          <ns0:t xml:space="preserve">B-7000 胶</ns0:t>
        </ns0:is>
      </ns0:c>
      <ns0:c r="D78" s="16" t="inlineStr">
        <ns0:is>
          <ns0:t xml:space="preserve">B-7000 多用途透明胶（显示模组/盖板与壳体粘接）</ns0:t>
        </ns0:is>
      </ns0:c>
      <ns0:c r="E78" s="17" t="inlineStr">
        <ns0:is>
          <ns0:t xml:space="preserve">待选</ns0:t>
        </ns0:is>
      </ns0:c>
      <ns0:c r="F78" s="17" t="inlineStr">
        <ns0:is>
          <ns0:t xml:space="preserve">B-7000</ns0:t>
        </ns0:is>
      </ns0:c>
      <ns0:c r="G78" s="17" t="inlineStr">
        <ns0:is>
          <ns0:t xml:space="preserve">待定</ns0:t>
        </ns0:is>
      </ns0:c>
      <ns0:c r="H78" s="16" t="inlineStr">
        <ns0:is>
          <ns0:t xml:space="preserve">显示模组 ↔ 主壳体</ns0:t>
        </ns0:is>
      </ns0:c>
      <ns0:c r="I78" s="17" t="inlineStr">
        <ns0:is>
          <ns0:t xml:space="preserve">辅料</ns0:t>
        </ns0:is>
      </ns0:c>
      <ns0:c r="J78" s="17" t="inlineStr">
        <ns0:is>
          <ns0:t xml:space="preserve">外购</ns0:t>
        </ns0:is>
      </ns0:c>
      <ns0:c r="K78" s="14" t="inlineStr">
        <ns0:is>
          <ns0:t xml:space="preserve">支</ns0:t>
        </ns0:is>
      </ns0:c>
      <ns0:c r="L78" s="18" t="n">
        <ns0:v>1</ns0:v>
      </ns0:c>
      <ns0:c r="M78" s="19" t="n">
        <ns0:f>M77*L78</ns0:f>
        <ns0:v>1</ns0:v>
      </ns0:c>
      <ns0:c r="N78" s="20" t="inlineStr">
        <ns0:is>
          <ns0:t xml:space="preserve">待确认</ns0:t>
        </ns0:is>
      </ns0:c>
      <ns0:c r="O78" s="16" t="inlineStr">
        <ns0:is>
          <ns0:t xml:space="preserve">用户指定。单台用量按工艺定量；此处按每台 1 支计入。</ns0:t>
        </ns0:is>
      </ns0:c>
    </ns0:row>
    <ns0:row r="79" outlineLevel="2">
      <ns0:c r="A79" s="14" t="n">
        <ns0:v>2</ns0:v>
      </ns0:c>
      <ns0:c r="B79" s="14" t="inlineStr">
        <ns0:is>
          <ns0:t xml:space="preserve">1.9.2</ns0:t>
        </ns0:is>
      </ns0:c>
      <ns0:c r="C79" s="15" t="inlineStr">
        <ns0:is>
          <ns0:t xml:space="preserve">麦克风密封垫（可选）</ns0:t>
        </ns0:is>
      </ns0:c>
      <ns0:c r="D79" s="16" t="inlineStr">
        <ns0:is>
          <ns0:t xml:space="preserve">泡棉或硅胶环，约 1 mm 厚，套在麦克风声柱盖与前壁之间，围住 Ø2 声孔</ns0:t>
        </ns0:is>
      </ns0:c>
      <ns0:c r="E79" s="17" t="inlineStr">
        <ns0:is>
          <ns0:t xml:space="preserve">待选</ns0:t>
        </ns0:is>
      </ns0:c>
      <ns0:c r="F79" s="17" t="inlineStr">
        <ns0:is>
          <ns0:t xml:space="preserve">待定</ns0:t>
        </ns0:is>
      </ns0:c>
      <ns0:c r="G79" s="17" t="inlineStr">
        <ns0:is>
          <ns0:t xml:space="preserve">待定</ns0:t>
        </ns0:is>
      </ns0:c>
      <ns0:c r="H79" s="16" t="inlineStr">
        <ns0:is>
          <ns0:t xml:space="preserve">壳体声柱 ↔ 前壁</ns0:t>
        </ns0:is>
      </ns0:c>
      <ns0:c r="I79" s="17" t="inlineStr">
        <ns0:is>
          <ns0:t xml:space="preserve">辅料</ns0:t>
        </ns0:is>
      </ns0:c>
      <ns0:c r="J79" s="17" t="inlineStr">
        <ns0:is>
          <ns0:t xml:space="preserve">外购</ns0:t>
        </ns0:is>
      </ns0:c>
      <ns0:c r="K79" s="14" t="inlineStr">
        <ns0:is>
          <ns0:t xml:space="preserve">个</ns0:t>
        </ns0:is>
      </ns0:c>
      <ns0:c r="L79" s="18" t="n">
        <ns0:v>1</ns0:v>
      </ns0:c>
      <ns0:c r="M79" s="19" t="n">
        <ns0:f>M77*L79</ns0:f>
        <ns0:v>1</ns0:v>
      </ns0:c>
      <ns0:c r="N79" s="20" t="inlineStr">
        <ns0:is>
          <ns0:t xml:space="preserve">待确认</ns0:t>
        </ns0:is>
      </ns0:c>
      <ns0:c r="O79" s="16" t="inlineStr">
        <ns0:is>
          <ns0:t xml:space="preserve">r6 README 建议：缩小声柱空气腔，把约 5 kHz 的亥姆霍兹共振峰推出语音频带。非必需，可删除。</ns0:t>
        </ns0:is>
      </ns0:c>
    </ns0:row>
    <ns0:row r="81">
      <ns0:c r="C81" s="22" t="inlineStr">
        <ns0:is>
          <ns0:t xml:space="preserve">校验：主板贴片元件合计（应为 125）</ns0:t>
        </ns0:is>
      </ns0:c>
      <ns0:c r="M81" s="22" t="n">
        <ns0:f>SUM(M5:M55)</ns0:f>
        <ns0:v>125</ns0:v>
      </ns0:c>
    </ns0:row>
    <ns0:row r="82">
      <ns0:c r="C82" s="22" t="inlineStr">
        <ns0:is>
          <ns0:t xml:space="preserve">校验：主板 BOM 行数（应为 51）</ns0:t>
        </ns0:is>
      </ns0:c>
      <ns0:c r="M82" s="22" t="n">
        <ns0:f>COUNTA(C5:C55)</ns0:f>
        <ns0:v>51</ns0:v>
      </ns0:c>
    </ns0:row>
    <ns0:row r="83">
      <ns0:c r="C83" s="23" t="inlineStr">
        <ns0:is>
          <ns0:t xml:space="preserve">图例：蓝色数字 = 可编辑的单级用量；整机用量为公式；状态红色“待确认”= 下单前需确认。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Pr>
    <ns0:outlinePr summaryBelow="1" summaryRight="1"/>
  </ns0:sheetPr>
  <ns0:sheetFormatPr baseColWidth="8" defaultRowHeight="15"/>
  <ns0:cols>
    <ns0:col min="1" max="1" width="24" customWidth="1"/>
    <ns0:col min="2" max="2" width="12" customWidth="1"/>
    <ns0:col min="3" max="3" width="14" customWidth="1"/>
    <ns0:col min="4" max="4" width="40" customWidth="1"/>
  </ns0:cols>
  <ns0:sheetData>
    <ns0:row r="1">
      <ns0:c r="A1" s="24" t="inlineStr">
        <ns0:is>
          <ns0:t xml:space="preserve">类别</ns0:t>
        </ns0:is>
      </ns0:c>
      <ns0:c r="B1" s="24" t="inlineStr">
        <ns0:is>
          <ns0:t xml:space="preserve">物料行数</ns0:t>
        </ns0:is>
      </ns0:c>
      <ns0:c r="C1" s="24" t="inlineStr">
        <ns0:is>
          <ns0:t xml:space="preserve">整机用量合计</ns0:t>
        </ns0:is>
      </ns0:c>
      <ns0:c r="D1" s="24" t="inlineStr">
        <ns0:is>
          <ns0:t xml:space="preserve">说明</ns0:t>
        </ns0:is>
      </ns0:c>
    </ns0:row>
    <ns0:row r="2">
      <ns0:c r="A2" s="25" t="inlineStr">
        <ns0:is>
          <ns0:t xml:space="preserve">电子元件（SMT）</ns0:t>
        </ns0:is>
      </ns0:c>
      <ns0:c r="B2" s="25" t="n">
        <ns0:f>COUNTIF('多级BOM'!$I:$I,A2)</ns0:f>
        <ns0:v>53</ns0:v>
      </ns0:c>
      <ns0:c r="C2" s="25" t="n">
        <ns0:f>SUMIF('多级BOM'!$I:$I,A2,'多级BOM'!$M:$M)</ns0:f>
        <ns0:v>127</ns0:v>
      </ns0:c>
      <ns0:c r="D2" s="25" t="inlineStr">
        <ns0:is>
          <ns0:t xml:space="preserve">主板 + 编码器板贴片元件</ns0:t>
        </ns0:is>
      </ns0:c>
    </ns0:row>
    <ns0:row r="3">
      <ns0:c r="A3" s="25" t="inlineStr">
        <ns0:is>
          <ns0:t xml:space="preserve">PCB</ns0:t>
        </ns0:is>
      </ns0:c>
      <ns0:c r="B3" s="25" t="n">
        <ns0:f>COUNTIF('多级BOM'!$I:$I,A3)</ns0:f>
        <ns0:v>2</ns0:v>
      </ns0:c>
      <ns0:c r="C3" s="25" t="n">
        <ns0:f>SUMIF('多级BOM'!$I:$I,A3,'多级BOM'!$M:$M)</ns0:f>
        <ns0:v>2</ns0:v>
      </ns0:c>
      <ns0:c r="D3" s="25" t="inlineStr">
        <ns0:is>
          <ns0:t xml:space="preserve">裸板</ns0:t>
        </ns0:is>
      </ns0:c>
    </ns0:row>
    <ns0:row r="4">
      <ns0:c r="A4" s="25" t="inlineStr">
        <ns0:is>
          <ns0:t xml:space="preserve">显示模组</ns0:t>
        </ns0:is>
      </ns0:c>
      <ns0:c r="B4" s="25" t="n">
        <ns0:f>COUNTIF('多级BOM'!$I:$I,A4)</ns0:f>
        <ns0:v>1</ns0:v>
      </ns0:c>
      <ns0:c r="C4" s="25" t="n">
        <ns0:f>SUMIF('多级BOM'!$I:$I,A4,'多级BOM'!$M:$M)</ns0:f>
        <ns0:v>1</ns0:v>
      </ns0:c>
      <ns0:c r="D4" s="25" t="inlineStr">
        <ns0:is>
          <ns0:t xml:space="preserve"/>
        </ns0:is>
      </ns0:c>
    </ns0:row>
    <ns0:row r="5">
      <ns0:c r="A5" s="25" t="inlineStr">
        <ns0:is>
          <ns0:t xml:space="preserve">线材</ns0:t>
        </ns0:is>
      </ns0:c>
      <ns0:c r="B5" s="25" t="n">
        <ns0:f>COUNTIF('多级BOM'!$I:$I,A5)</ns0:f>
        <ns0:v>1</ns0:v>
      </ns0:c>
      <ns0:c r="C5" s="25" t="n">
        <ns0:f>SUMIF('多级BOM'!$I:$I,A5,'多级BOM'!$M:$M)</ns0:f>
        <ns0:v>1</ns0:v>
      </ns0:c>
      <ns0:c r="D5" s="25" t="inlineStr">
        <ns0:is>
          <ns0:t xml:space="preserve">板间 FPC</ns0:t>
        </ns0:is>
      </ns0:c>
    </ns0:row>
    <ns0:row r="6">
      <ns0:c r="A6" s="25" t="inlineStr">
        <ns0:is>
          <ns0:t xml:space="preserve">电池</ns0:t>
        </ns0:is>
      </ns0:c>
      <ns0:c r="B6" s="25" t="n">
        <ns0:f>COUNTIF('多级BOM'!$I:$I,A6)</ns0:f>
        <ns0:v>1</ns0:v>
      </ns0:c>
      <ns0:c r="C6" s="25" t="n">
        <ns0:f>SUMIF('多级BOM'!$I:$I,A6,'多级BOM'!$M:$M)</ns0:f>
        <ns0:v>1</ns0:v>
      </ns0:c>
      <ns0:c r="D6" s="25" t="inlineStr">
        <ns0:is>
          <ns0:t xml:space="preserve"/>
        </ns0:is>
      </ns0:c>
    </ns0:row>
    <ns0:row r="7">
      <ns0:c r="A7" s="25" t="inlineStr">
        <ns0:is>
          <ns0:t xml:space="preserve">扬声器</ns0:t>
        </ns0:is>
      </ns0:c>
      <ns0:c r="B7" s="25" t="n">
        <ns0:f>COUNTIF('多级BOM'!$I:$I,A7)</ns0:f>
        <ns0:v>1</ns0:v>
      </ns0:c>
      <ns0:c r="C7" s="25" t="n">
        <ns0:f>SUMIF('多级BOM'!$I:$I,A7,'多级BOM'!$M:$M)</ns0:f>
        <ns0:v>1</ns0:v>
      </ns0:c>
      <ns0:c r="D7" s="25" t="inlineStr">
        <ns0:is>
          <ns0:t xml:space="preserve"/>
        </ns0:is>
      </ns0:c>
    </ns0:row>
    <ns0:row r="8">
      <ns0:c r="A8" s="25" t="inlineStr">
        <ns0:is>
          <ns0:t xml:space="preserve">结构件（3D 打印）</ns0:t>
        </ns0:is>
      </ns0:c>
      <ns0:c r="B8" s="25" t="n">
        <ns0:f>COUNTIF('多级BOM'!$I:$I,A8)</ns0:f>
        <ns0:v>9</ns0:v>
      </ns0:c>
      <ns0:c r="C8" s="25" t="n">
        <ns0:f>SUMIF('多级BOM'!$I:$I,A8,'多级BOM'!$M:$M)</ns0:f>
        <ns0:v>9</ns0:v>
      </ns0:c>
      <ns0:c r="D8" s="25" t="inlineStr">
        <ns0:is>
          <ns0:t xml:space="preserve">BodyV6.13 实体 + 后盖</ns0:t>
        </ns0:is>
      </ns0:c>
    </ns0:row>
    <ns0:row r="9">
      <ns0:c r="A9" s="25" t="inlineStr">
        <ns0:is>
          <ns0:t xml:space="preserve">紧固件</ns0:t>
        </ns0:is>
      </ns0:c>
      <ns0:c r="B9" s="25" t="n">
        <ns0:f>COUNTIF('多级BOM'!$I:$I,A9)</ns0:f>
        <ns0:v>2</ns0:v>
      </ns0:c>
      <ns0:c r="C9" s="25" t="n">
        <ns0:f>SUMIF('多级BOM'!$I:$I,A9,'多级BOM'!$M:$M)</ns0:f>
        <ns0:v>5</ns0:v>
      </ns0:c>
      <ns0:c r="D9" s="25" t="inlineStr">
        <ns0:is>
          <ns0:t xml:space="preserve"/>
        </ns0:is>
      </ns0:c>
    </ns0:row>
    <ns0:row r="10">
      <ns0:c r="A10" s="25" t="inlineStr">
        <ns0:is>
          <ns0:t xml:space="preserve">辅料</ns0:t>
        </ns0:is>
      </ns0:c>
      <ns0:c r="B10" s="25" t="n">
        <ns0:f>COUNTIF('多级BOM'!$I:$I,A10)</ns0:f>
        <ns0:v>2</ns0:v>
      </ns0:c>
      <ns0:c r="C10" s="25" t="n">
        <ns0:f>SUMIF('多级BOM'!$I:$I,A10,'多级BOM'!$M:$M)</ns0:f>
        <ns0:v>2</ns0:v>
      </ns0:c>
      <ns0:c r="D10" s="25" t="inlineStr">
        <ns0:is>
          <ns0:t xml:space="preserve">B-7000 胶、密封垫</ns0:t>
        </ns0:is>
      </ns0:c>
    </ns0:row>
    <ns0:row r="11">
      <ns0:c r="A11" s="25" t="inlineStr">
        <ns0:is>
          <ns0:t xml:space="preserve">子装配</ns0:t>
        </ns0:is>
      </ns0:c>
      <ns0:c r="B11" s="25" t="n">
        <ns0:f>COUNTIF('多级BOM'!$I:$I,A11)</ns0:f>
        <ns0:v>5</ns0:v>
      </ns0:c>
      <ns0:c r="C11" s="25" t="n">
        <ns0:f>SUMIF('多级BOM'!$I:$I,A11,'多级BOM'!$M:$M)</ns0:f>
        <ns0:v>5</ns0:v>
      </ns0:c>
      <ns0:c r="D11" s="25" t="inlineStr">
        <ns0:is>
          <ns0:t xml:space="preserve">分组行，不计入物料</ns0:t>
        </ns0:is>
      </ns0:c>
    </ns0:row>
    <ns0:row r="12">
      <ns0:c r="A12" s="26" t="inlineStr">
        <ns0:is>
          <ns0:t xml:space="preserve">合计（不含子装配）</ns0:t>
        </ns0:is>
      </ns0:c>
      <ns0:c r="B12" s="26" t="n">
        <ns0:f>SUM(B2:B10)</ns0:f>
        <ns0:v>72</ns0:v>
      </ns0:c>
      <ns0:c r="C12" s="26" t="n">
        <ns0:f>SUM(C2:C10)</ns0:f>
        <ns0:v>149</ns0:v>
      </ns0:c>
      <ns0:c r="D12" s="26" t="n"/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Pr>
    <ns0:outlinePr summaryBelow="1" summaryRight="1"/>
  </ns0:sheetPr>
  <ns0:sheetFormatPr baseColWidth="8" defaultRowHeight="15"/>
  <ns0:cols>
    <ns0:col min="1" max="1" width="14" customWidth="1"/>
    <ns0:col min="2" max="2" width="120" customWidth="1"/>
  </ns0:cols>
  <ns0:sheetData>
    <ns0:row r="1">
      <ns0:c r="A1" s="27" t="inlineStr">
        <ns0:is>
          <ns0:t xml:space="preserve">项目</ns0:t>
        </ns0:is>
      </ns0:c>
      <ns0:c r="B1" s="27" t="inlineStr">
        <ns0:is>
          <ns0:t xml:space="preserve">内容</ns0:t>
        </ns0:is>
      </ns0:c>
    </ns0:row>
    <ns0:row r="2">
      <ns0:c r="A2" s="28" t="inlineStr">
        <ns0:is>
          <ns0:t xml:space="preserve">文件</ns0:t>
        </ns0:is>
      </ns0:c>
      <ns0:c r="B2" s="29" t="inlineStr">
        <ns0:is>
          <ns0:t xml:space="preserve">Cohdl OpenWalkieTalkie 整机多级 BOM（中文），基于主板 Rev B</ns0:t>
        </ns0:is>
      </ns0:c>
    </ns0:row>
    <ns0:row r="3">
      <ns0:c r="A3" s="28" t="inlineStr">
        <ns0:is>
          <ns0:t xml:space="preserve">生成日期</ns0:t>
        </ns0:is>
      </ns0:c>
      <ns0:c r="B3" s="29" t="inlineStr">
        <ns0:is>
          <ns0:t xml:space="preserve">2026-10-10</ns0:t>
        </ns0:is>
      </ns0:c>
    </ns0:row>
    <ns0:row r="4">
      <ns0:c r="A4" s="28" t="inlineStr">
        <ns0:is>
          <ns0:t xml:space="preserve">主板版本</ns0:t>
        </ns0:is>
      </ns0:c>
      <ns0:c r="B4" s="29" t="inlineStr">
        <ns0:is>
          <ns0:t xml:space="preserve">Rev B，2026-10-06 重建（hardware/rev-b/manifest.json）；KiCad 10.0.4；4 层，125 件贴装</ns0:t>
        </ns0:is>
      </ns0:c>
    </ns0:row>
    <ns0:row r="5">
      <ns0:c r="A5" s="28" t="inlineStr">
        <ns0:is>
          <ns0:t xml:space="preserve">编码器板</ns0:t>
        </ns0:is>
      </ns0:c>
      <ns0:c r="B5" s="29" t="inlineStr">
        <ns0:is>
          <ns0:t xml:space="preserve">r6 标准板（hardware/rev-a/pcb-release-bodyv6.13-20260923-r6/encoder/），Rev B 未改动；可选 encoder-wheel 变体</ns0:t>
        </ns0:is>
      </ns0:c>
    </ns0:row>
    <ns0:row r="6">
      <ns0:c r="A6" s="28" t="inlineStr">
        <ns0:is>
          <ns0:t xml:space="preserve">外壳</ns0:t>
        </ns0:is>
      </ns0:c>
      <ns0:c r="B6" s="29" t="inlineStr">
        <ns0:is>
          <ns0:t xml:space="preserve">BodyV6.13（hardware/rev-a/mechanical-source/case/BodyV6.13.step），8 个实体：MainCase、Wheel、PushToTalk、Shift、Enter、Cancel、Left、Right；后盖未导出</ns0:t>
        </ns0:is>
      </ns0:c>
    </ns0:row>
    <ns0:row r="7">
      <ns0:c r="A7" s="28" t="inlineStr">
        <ns0:is>
          <ns0:t xml:space="preserve">层级规则</ns0:t>
        </ns0:is>
      </ns0:c>
      <ns0:c r="B7" s="29" t="inlineStr">
        <ns0:is>
          <ns0:t xml:space="preserve">层级 0 整机；层级 1 子装配或整机级独立物料；层级 2 子装配内的元件/裸板。物料编号按 1 / 1.x / 1.x.y 级联。</ns0:t>
        </ns0:is>
      </ns0:c>
    </ns0:row>
    <ns0:row r="8">
      <ns0:c r="A8" s="28" t="inlineStr">
        <ns0:is>
          <ns0:t xml:space="preserve">用量公式</ns0:t>
        </ns0:is>
      </ns0:c>
      <ns0:c r="B8" s="29" t="inlineStr">
        <ns0:is>
          <ns0:t xml:space="preserve">整机用量 = 上级行的整机用量 × 本行单级用量（M 列公式）。修改蓝色的单级用量后自动重算。</ns0:t>
        </ns0:is>
      </ns0:c>
    </ns0:row>
    <ns0:row r="9">
      <ns0:c r="A9" s="28" t="inlineStr">
        <ns0:is>
          <ns0:t xml:space="preserve">数据来源 1</ns0:t>
        </ns0:is>
      </ns0:c>
      <ns0:c r="B9" s="29" t="inlineStr">
        <ns0:is>
          <ns0:t xml:space="preserve">hardware/rev-b/fab-jlcpcb/main-bom-jlcpcb.csv、main-cpl-jlcpcb.csv、ORDER-NOTES.md（制造商型号为实际贴装型号；设计型号写在备注）</ns0:t>
        </ns0:is>
      </ns0:c>
    </ns0:row>
    <ns0:row r="10">
      <ns0:c r="A10" s="28" t="inlineStr">
        <ns0:is>
          <ns0:t xml:space="preserve">数据来源 2</ns0:t>
        </ns0:is>
      </ns0:c>
      <ns0:c r="B10" s="29" t="inlineStr">
        <ns0:is>
          <ns0:t xml:space="preserve">hardware/rev-a/pcb-release-bodyv6.13-20260923-r6/fab-jlcpcb/encoder/encoder-bom-jlcpcb.csv、README.md（螺钉、座块、声柱）</ns0:t>
        </ns0:is>
      </ns0:c>
    </ns0:row>
    <ns0:row r="11">
      <ns0:c r="A11" s="28" t="inlineStr">
        <ns0:is>
          <ns0:t xml:space="preserve">数据来源 3</ns0:t>
        </ns0:is>
      </ns0:c>
      <ns0:c r="B11" s="29" t="inlineStr">
        <ns0:is>
          <ns0:t xml:space="preserve">hardware/rev-a/mechanical-source/display/H0216F002AMT003A_V2_specification.pdf（显示模组参数）</ns0:t>
        </ns0:is>
      </ns0:c>
    </ns0:row>
    <ns0:row r="12">
      <ns0:c r="A12" s="28" t="inlineStr">
        <ns0:is>
          <ns0:t xml:space="preserve">数据来源 4</ns0:t>
        </ns0:is>
      </ns0:c>
      <ns0:c r="B12" s="29" t="inlineStr">
        <ns0:is>
          <ns0:t xml:space="preserve">hardware/rev-a/pcb-release-bodyv6.13-20260923-r6/assembly-notes/cable-concept.json（板间 FPC 几何）</ns0:t>
        </ns0:is>
      </ns0:c>
    </ns0:row>
    <ns0:row r="13">
      <ns0:c r="A13" s="28" t="inlineStr">
        <ns0:is>
          <ns0:t xml:space="preserve">数据来源 5</ns0:t>
        </ns0:is>
      </ns0:c>
      <ns0:c r="B13" s="29" t="inlineStr">
        <ns0:is>
          <ns0:t xml:space="preserve">docs/hardware-design-constraints.md HW-006 / HW-009（电池、扬声器、FPC 约束）</ns0:t>
        </ns0:is>
      </ns0:c>
    </ns0:row>
    <ns0:row r="14">
      <ns0:c r="A14" s="28" t="inlineStr">
        <ns0:is>
          <ns0:t xml:space="preserve">用户指定</ns0:t>
        </ns0:is>
      </ns0:c>
      <ns0:c r="B14" s="29" t="inlineStr">
        <ns0:is>
          <ns0:t xml:space="preserve">702040 3.7 V 500 mAh 电池、B-7000 胶、3D 打印结构件、显示模组、扬声器、板间 FPC 由用户要求列入；其具体供应商/型号仓库中无记录，标为“待确认”。</ns0:t>
        </ns0:is>
      </ns0:c>
    </ns0:row>
    <ns0:row r="15">
      <ns0:c r="A15" s="28" t="inlineStr">
        <ns0:is>
          <ns0:t xml:space="preserve">待确认 1</ns0:t>
        </ns0:is>
      </ns0:c>
      <ns0:c r="B15" s="29" t="inlineStr">
        <ns0:is>
          <ns0:t xml:space="preserve">电子元件缺货项：AE1、SW3/SW4、U5、R32、Y1（Y1 需替代晶振评审）</ns0:t>
        </ns0:is>
      </ns0:c>
    </ns0:row>
    <ns0:row r="16">
      <ns0:c r="A16" s="28" t="inlineStr">
        <ns0:is>
          <ns0:t xml:space="preserve">待确认 2</ns0:t>
        </ns0:is>
      </ns0:c>
      <ns0:c r="B16" s="29" t="inlineStr">
        <ns0:is>
          <ns0:t xml:space="preserve">板间 FPC：触点同面/异面、长度（按 cable-concept 推断为异面 Type B，约 31 mm）</ns0:t>
        </ns0:is>
      </ns0:c>
    </ns0:row>
    <ns0:row r="17">
      <ns0:c r="A17" s="28" t="inlineStr">
        <ns0:is>
          <ns0:t xml:space="preserve">待确认 3</ns0:t>
        </ns0:is>
      </ns0:c>
      <ns0:c r="B17" s="29" t="str">
        <ns0:v>电池：供应商、引线长度、保护板参数、充电倍率（247 mA ≈ 0.5C）；NTC 必须 10 kΩ</ns0:v>
      </ns0:c>
    </ns0:row>
    <ns0:row r="18">
      <ns0:c r="A18" s="28" t="inlineStr">
        <ns0:is>
          <ns0:t xml:space="preserve">待确认 4</ns0:t>
        </ns0:is>
      </ns0:c>
      <ns0:c r="B18" s="29" t="inlineStr">
        <ns0:is>
          <ns0:t xml:space="preserve">扬声器：型号、尺寸、功率（4 Ω）</ns0:t>
        </ns0:is>
      </ns0:c>
    </ns0:row>
    <ns0:row r="19">
      <ns0:c r="A19" s="28" t="inlineStr">
        <ns0:is>
          <ns0:t xml:space="preserve">待确认 5</ns0:t>
        </ns0:is>
      </ns0:c>
      <ns0:c r="B19" s="29" t="inlineStr">
        <ns0:is>
          <ns0:t xml:space="preserve">结构件：打印材料/工艺；后盖未导出；拨轮按编码器板变体二选一</ns0:t>
        </ns0:is>
      </ns0:c>
    </ns0:row>
    <ns0:row r="20">
      <ns0:c r="A20" s="28" t="inlineStr">
        <ns0:is>
          <ns0:t xml:space="preserve">待确认 6</ns0:t>
        </ns0:is>
      </ns0:c>
      <ns0:c r="B20" s="29" t="inlineStr">
        <ns0:is>
          <ns0:t xml:space="preserve">紧固件：用户指定 M2×4 平头（PCB、喇叭）与 M2×4 沉头（背板）；点数待核（估计 3 + 2）；r6 README 核算主板凸台导孔深 3.975 mm、M2×4 会顶底且头径需 ≤ Ø3.4，须按现行 CAD 复核</ns0:t>
        </ns0:is>
      </ns0:c>
    </ns0:row>
    <ns0:row r="21">
      <ns0:c r="A21" s="28" t="inlineStr">
        <ns0:is>
          <ns0:t xml:space="preserve">未包含</ns0:t>
        </ns0:is>
      </ns0:c>
      <ns0:c r="B21" s="29" t="inlineStr">
        <ns0:is>
          <ns0:t xml:space="preserve">包装、标签、烧录治具（hardware/rev-b/jig）、电池固定胶带/泡棉（仓库未指定）</ns0:t>
        </ns0:is>
      </ns0:c>
    </ns0:row>
    <ns0:row r="22">
      <ns0:c r="A22" s="28" t="inlineStr">
        <ns0:is>
          <ns0:t xml:space="preserve">公式校验</ns0:t>
        </ns0:is>
      </ns0:c>
      <ns0:c r="B22" s="29" t="inlineStr">
        <ns0:is>
          <ns0:t xml:space="preserve">本机无 LibreOffice，未做自动重算校验；公式仅为乘法与 SUM/COUNTIF/SUMIF，Excel 打开时自动计算。</ns0:t>
        </ns0:is>
      </ns0:c>
    </ns0:row>
  </ns0:sheetData>
  <ns0:pageMargins left="0.7" right="0.7" top="0.75" bottom="0.75" header="0.3" footer="0.3"/>
</ns0:worksheet>
</file>